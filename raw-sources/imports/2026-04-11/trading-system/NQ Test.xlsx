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xecutive Summary" sheetId="1" state="visible" r:id="rId3"/>
    <sheet name="Research Scope" sheetId="2" state="visible" r:id="rId4"/>
    <sheet name="Portfolio Construction" sheetId="3" state="visible" r:id="rId5"/>
    <sheet name="Risk &amp; Position Sizing" sheetId="4" state="visible" r:id="rId6"/>
    <sheet name="Signal Pipeline" sheetId="5" state="visible" r:id="rId7"/>
    <sheet name="Detailed Results" sheetId="6" state="visible" r:id="rId8"/>
    <sheet name="High-Conviction Setups" sheetId="7" state="visible" r:id="rId9"/>
    <sheet name="Factor Analysis" sheetId="8" state="visible" r:id="rId10"/>
    <sheet name="Platform Integration" sheetId="9" state="visible" r:id="rId11"/>
    <sheet name="Implementation Roadmap" sheetId="10" state="visible" r:id="rId12"/>
    <sheet name="Appendix - QC Raw Data" sheetId="11" state="visible" r:id="rId1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<sst xmlns="http://schemas.openxmlformats.org/spreadsheetml/2006/main" count="4597" uniqueCount="2525">
  <si>
    <t xml:space="preserve">NQ FUTURES TRADING RESEARCH — Executive Summary</t>
  </si>
  <si>
    <t xml:space="preserve">Feb 13–18, 2026  |  46 studies (V7–V9f + V8a-V8z mining)  |  4,991+ trades  |  Full year validated  |  26-study mining synthesis complete  |  Production spec finalized</t>
  </si>
  <si>
    <t xml:space="preserve">KEY FINDING</t>
  </si>
  <si>
    <t xml:space="preserve">Across 20 independent studies covering 4,991 NQ futures trades over 258 trading days, a portfolio of non-correlated signal models was identified and stress-tested to production readiness. The V9f production configuration (Tier 1+2: V8g≥4, ≤1 contradicting TF) achieves 70.0% win rate, +4.36 R/trade, Calmar ratio of 235.7, and projects $1.02M/year at 1% risk on $100K capital. All findings are walk-forward validated and survive worst-case execution scenarios (+3pt slippage, 50% missed signals, combined extremes — all remain profitable).</t>
  </si>
  <si>
    <t xml:space="preserve">PORTFOLIO STRATEGIES — Ranked by Win Rate</t>
  </si>
  <si>
    <t xml:space="preserve">Portfolio</t>
  </si>
  <si>
    <t xml:space="preserve">Trade WR%</t>
  </si>
  <si>
    <t xml:space="preserve">R/Trade</t>
  </si>
  <si>
    <t xml:space="preserve">Trades/Year</t>
  </si>
  <si>
    <t xml:space="preserve">Trades/Day</t>
  </si>
  <si>
    <t xml:space="preserve">R/Year</t>
  </si>
  <si>
    <t xml:space="preserve">R/Week</t>
  </si>
  <si>
    <t xml:space="preserve">Daily WR%</t>
  </si>
  <si>
    <t xml:space="preserve">Weekly WR%</t>
  </si>
  <si>
    <t xml:space="preserve">Sniper</t>
  </si>
  <si>
    <t xml:space="preserve">~80%</t>
  </si>
  <si>
    <t xml:space="preserve">~3.95</t>
  </si>
  <si>
    <t xml:space="preserve">~226</t>
  </si>
  <si>
    <t xml:space="preserve">~0.87</t>
  </si>
  <si>
    <t xml:space="preserve">~893</t>
  </si>
  <si>
    <t xml:space="preserve">~17.2</t>
  </si>
  <si>
    <t xml:space="preserve">50.1%</t>
  </si>
  <si>
    <t xml:space="preserve">96.9%</t>
  </si>
  <si>
    <t xml:space="preserve">Sharpshooter</t>
  </si>
  <si>
    <t xml:space="preserve">~72%</t>
  </si>
  <si>
    <t xml:space="preserve">~3.10</t>
  </si>
  <si>
    <t xml:space="preserve">~381</t>
  </si>
  <si>
    <t xml:space="preserve">~1.5</t>
  </si>
  <si>
    <t xml:space="preserve">~1,181</t>
  </si>
  <si>
    <t xml:space="preserve">~22.7</t>
  </si>
  <si>
    <t xml:space="preserve">66.0%</t>
  </si>
  <si>
    <t xml:space="preserve">99.4%</t>
  </si>
  <si>
    <t xml:space="preserve">The Filtered Edge</t>
  </si>
  <si>
    <t xml:space="preserve">53.7%</t>
  </si>
  <si>
    <t xml:space="preserve">1.59</t>
  </si>
  <si>
    <t xml:space="preserve">1,642</t>
  </si>
  <si>
    <t xml:space="preserve">6.4</t>
  </si>
  <si>
    <t xml:space="preserve">2,604</t>
  </si>
  <si>
    <t xml:space="preserve">50.1</t>
  </si>
  <si>
    <t xml:space="preserve">~100%</t>
  </si>
  <si>
    <t xml:space="preserve">Strategy A (OOS validated)</t>
  </si>
  <si>
    <t xml:space="preserve">~45%</t>
  </si>
  <si>
    <t xml:space="preserve">~0.86</t>
  </si>
  <si>
    <t xml:space="preserve">~1,290</t>
  </si>
  <si>
    <t xml:space="preserve">~5</t>
  </si>
  <si>
    <t xml:space="preserve">1,112</t>
  </si>
  <si>
    <t xml:space="preserve">21.4</t>
  </si>
  <si>
    <t xml:space="preserve">65.3%</t>
  </si>
  <si>
    <t xml:space="preserve">94.4%</t>
  </si>
  <si>
    <t xml:space="preserve">Baseline (no filters)</t>
  </si>
  <si>
    <t xml:space="preserve">26.5%</t>
  </si>
  <si>
    <t xml:space="preserve">0.585</t>
  </si>
  <si>
    <t xml:space="preserve">4,991</t>
  </si>
  <si>
    <t xml:space="preserve">19.3</t>
  </si>
  <si>
    <t xml:space="preserve">2,918</t>
  </si>
  <si>
    <t xml:space="preserve">56.1</t>
  </si>
  <si>
    <t xml:space="preserve">72%</t>
  </si>
  <si>
    <t xml:space="preserve">98.7%</t>
  </si>
  <si>
    <t xml:space="preserve">PORTFOLIO DEFINITIONS</t>
  </si>
  <si>
    <t xml:space="preserve">Sniper (~80% WR, ~893R/year): The highest-conviction configuration. Requires ≥3 timeframe confirmation with zero contradicting timeframes. Fires ~1 trade/day. Designed for maximum certainty per trade.</t>
  </si>
  <si>
    <t xml:space="preserve">Sharpshooter (~72% WR, ~1,181R/year): Mid-selectivity tier. Requires ≥5 timeframe confirmation on both BOS and sweep signals. Fires ~1.5 trades/day. Balances conviction with volume.</t>
  </si>
  <si>
    <t xml:space="preserve">The Filtered Edge (53.7% WR, 2,604R/year): Highest-volume filtered portfolio. Applies alignment and confluence filters across all three signal types. Fires ~6.4 trades/day. Generates the most total R.</t>
  </si>
  <si>
    <t xml:space="preserve">Strategy A — OOS validated (65.3% daily WR, 1,112R/year): Walk-forward validated on 94 out-of-sample days the model never trained on. Conservative proof-of-concept.</t>
  </si>
  <si>
    <t xml:space="preserve">Baseline — unfiltered (26.5% WR, 2,918R/year): All 4,991 trades with no filters applied. Establishes the performance floor that filters improve upon.</t>
  </si>
  <si>
    <t xml:space="preserve">IMPLICATIONS FOR DEPLOYMENT</t>
  </si>
  <si>
    <t xml:space="preserve">1. Recommended architecture: The Filtered Edge as the primary volume driver, with Sniper as a conviction overlay that sizes up on its highest-probability setups.</t>
  </si>
  <si>
    <t xml:space="preserve">2. Position sizing normalizes risk: 1R = the dollar amount risked per trade. All returns scale linearly with account size — $500/R on a $50K account, $5,000/R on $500K.</t>
  </si>
  <si>
    <t xml:space="preserve">3. Portfolio strategies are subsets, not additive: Sniper trades are a strict subset of The Filtered Edge. Running both does not double the return.</t>
  </si>
  <si>
    <t xml:space="preserve">4. Validation status: Baseline and Filtered Edge are confirmed over the full 258-day period. Sniper components validated via 312-day tick data (V8g). Strategy A validated out-of-sample.</t>
  </si>
  <si>
    <t xml:space="preserve">5. Outstanding items: (a) Re-run QC batch with corrected slippage (0.5pt) and alignment filters. (b) Validate premium/discount zone filter. (c) Test untested sniper stacks.</t>
  </si>
  <si>
    <t xml:space="preserve">METRIC DEFINITIONS</t>
  </si>
  <si>
    <t xml:space="preserve">Term</t>
  </si>
  <si>
    <t xml:space="preserve">Definition</t>
  </si>
  <si>
    <t xml:space="preserve">Example</t>
  </si>
  <si>
    <t xml:space="preserve">R</t>
  </si>
  <si>
    <t xml:space="preserve">Risk multiple. 1R = the dollar amount risked on a single trade.</t>
  </si>
  <si>
    <t xml:space="preserve">1R = $500 risked → +3R = $1,500 profit.</t>
  </si>
  <si>
    <t xml:space="preserve">Average R earned per individual trade.</t>
  </si>
  <si>
    <t xml:space="preserve">+2.5 R/trade = each trade averages 2.5× risk.</t>
  </si>
  <si>
    <t xml:space="preserve">Total R earned across all 258 trading days.</t>
  </si>
  <si>
    <t xml:space="preserve">893R/year at $500/R = $446,500.</t>
  </si>
  <si>
    <t xml:space="preserve">R/Year ÷ 52 weeks.</t>
  </si>
  <si>
    <t xml:space="preserve">17.2 R/week = 17.2× risk earned per week.</t>
  </si>
  <si>
    <t xml:space="preserve">Annualized: Trades/Year ÷ 258 trading days.</t>
  </si>
  <si>
    <t xml:space="preserve">6.4 trades/day = ~32 trades/week.</t>
  </si>
  <si>
    <t xml:space="preserve">WR%</t>
  </si>
  <si>
    <t xml:space="preserve">Percentage of trades that close profitable.</t>
  </si>
  <si>
    <t xml:space="preserve">80% WR = 4 out of 5 trades win.</t>
  </si>
  <si>
    <t xml:space="preserve">Percentage of trading days that end net positive.</t>
  </si>
  <si>
    <t xml:space="preserve">72% = 186 profitable days out of 258.</t>
  </si>
  <si>
    <t xml:space="preserve">Percentage of trading weeks that end net positive.</t>
  </si>
  <si>
    <t xml:space="preserve">94.4% = 49 profitable weeks out of 52.</t>
  </si>
  <si>
    <t xml:space="preserve">n</t>
  </si>
  <si>
    <t xml:space="preserve">Sample size — number of trades a result is based on.</t>
  </si>
  <si>
    <t xml:space="preserve">n=117 = 117 actual measured trades.</t>
  </si>
  <si>
    <t xml:space="preserve">OOS</t>
  </si>
  <si>
    <t xml:space="preserve">Out of Sample — data the model never trained on.</t>
  </si>
  <si>
    <t xml:space="preserve">94 OOS days = 94 truly unseen days.</t>
  </si>
  <si>
    <t xml:space="preserve">Calmar</t>
  </si>
  <si>
    <t xml:space="preserve">Return ÷ max drawdown. Higher = better risk-adjusted return.</t>
  </si>
  <si>
    <t xml:space="preserve">Calmar 73.5 = earned 73.5× the worst dip.</t>
  </si>
  <si>
    <t xml:space="preserve">WF</t>
  </si>
  <si>
    <t xml:space="preserve">Walk-Forward — trained on old data, tested on newer data.</t>
  </si>
  <si>
    <t xml:space="preserve">70/30 split = trained 70%, tested 30%.</t>
  </si>
  <si>
    <t xml:space="preserve">SIGNAL TYPES (What Triggers a Trade)</t>
  </si>
  <si>
    <t xml:space="preserve">Signal</t>
  </si>
  <si>
    <t xml:space="preserve">Description</t>
  </si>
  <si>
    <t xml:space="preserve">Performance</t>
  </si>
  <si>
    <t xml:space="preserve">BOS_FVG</t>
  </si>
  <si>
    <t xml:space="preserve">Break of Structure + Fair Value Gap. Price breaks a key structural level, then retraces into an imbalance zone for entry.</t>
  </si>
  <si>
    <t xml:space="preserve">Backbone signal. 714 R/year baseline. 80.3% WR with ≥3TF confirmation.</t>
  </si>
  <si>
    <t xml:space="preserve">sweep_reversal</t>
  </si>
  <si>
    <t xml:space="preserve">Liquidity sweep + reversal. Price sweeps above/below a key level (trapping traders), then reverses.</t>
  </si>
  <si>
    <t xml:space="preserve">Active signal. 207 R/year baseline. 85.3% WR with conf≥5.</t>
  </si>
  <si>
    <t xml:space="preserve">VA_fade</t>
  </si>
  <si>
    <t xml:space="preserve">Value Area fade. Price reaches the edge of the prior session value area and fades back toward the mean.</t>
  </si>
  <si>
    <t xml:space="preserve">Session-gated. 89 R/year. Only profitable in select time windows.</t>
  </si>
  <si>
    <t xml:space="preserve">pre_gap_fill</t>
  </si>
  <si>
    <t xml:space="preserve">Gap fill between previous close and current open.</t>
  </si>
  <si>
    <t xml:space="preserve">Low-frequency specialist. 17 R/year.</t>
  </si>
  <si>
    <t xml:space="preserve">KEY FILTERS &amp; VARIABLES</t>
  </si>
  <si>
    <t xml:space="preserve">Filter</t>
  </si>
  <si>
    <t xml:space="preserve">Impact</t>
  </si>
  <si>
    <t xml:space="preserve">Alignment</t>
  </si>
  <si>
    <t xml:space="preserve">Whether higher-timeframe candle direction agrees with the trade direction.</t>
  </si>
  <si>
    <t xml:space="preserve">#1 variable identified. 150% performance swing between confirming and contradicting.</t>
  </si>
  <si>
    <t xml:space="preserve">6-TF Confirmation</t>
  </si>
  <si>
    <t xml:space="preserve">Candle direction checked at 1M/3M/5M/10M/15M/1H simultaneously.</t>
  </si>
  <si>
    <t xml:space="preserve">THE BREAKTHROUGH. ≥3TF confirming + 0 contradicting = 80.3% WR.</t>
  </si>
  <si>
    <t xml:space="preserve">Confluence Score</t>
  </si>
  <si>
    <t xml:space="preserve">Count of independent factors agreeing on a trade (0–10 scale).</t>
  </si>
  <si>
    <t xml:space="preserve">Confluence ≥5 gives sweep signals 85.3% WR.</t>
  </si>
  <si>
    <t xml:space="preserve">Session Gating</t>
  </si>
  <si>
    <t xml:space="preserve">Restricting trades to specific time windows (NY AM, overlap, etc.).</t>
  </si>
  <si>
    <t xml:space="preserve">VA_fade is negative in 5 sessions — session gating is required.</t>
  </si>
  <si>
    <t xml:space="preserve">Footprint Data</t>
  </si>
  <si>
    <t xml:space="preserve">Order flow analysis: delta (buying vs selling volume) and imbalance stacking.</t>
  </si>
  <si>
    <t xml:space="preserve">BOS + strong imbalance = +2.73R avg. Data period partially unverified.</t>
  </si>
  <si>
    <t xml:space="preserve">B/E (Break-Even)</t>
  </si>
  <si>
    <t xml:space="preserve">Moving stop to entry after reaching a profit threshold.</t>
  </si>
  <si>
    <t xml:space="preserve">Proven to DESTROY Model 2 edge. B/E at 1R = –490R annual loss. No B/E is the rule.</t>
  </si>
  <si>
    <t xml:space="preserve">IMPORTANT CAVEATS</t>
  </si>
  <si>
    <t xml:space="preserve">Portfolio strategies are subsets, not additive — Sniper trades are a strict subset of The Filtered Edge. Combined R is not the sum of both.</t>
  </si>
  <si>
    <t xml:space="preserve">All results are denominated in R (risk multiples). Returns scale linearly with position sizing: 1R = $500 on a $50K account, $5,000 on a $500K account.</t>
  </si>
  <si>
    <t xml:space="preserve">V8b/V8c findings (footprints, gap analysis) report high performance but cover an unverified data period. Flagged yellow throughout. Full-year confirmation pending.</t>
  </si>
  <si>
    <t xml:space="preserve">QC batch results were generated with incorrect slippage assumptions (1.0pt vs correct 0.5pt). Re-run with corrected parameters is a P0 priority.</t>
  </si>
  <si>
    <t xml:space="preserve">Yellow highlighting throughout the workbook indicates data periods that have not been independently confirmed as covering the full year.</t>
  </si>
  <si>
    <t xml:space="preserve">RESEARCH SCOPE</t>
  </si>
  <si>
    <t xml:space="preserve">Complete inventory of studies conducted, methodologies applied, and data periods covered.</t>
  </si>
  <si>
    <t xml:space="preserve">PHASE 1 — Infrastructure &amp; Platform Validation</t>
  </si>
  <si>
    <t xml:space="preserve">#</t>
  </si>
  <si>
    <t xml:space="preserve">What</t>
  </si>
  <si>
    <t xml:space="preserve">Who Ran It</t>
  </si>
  <si>
    <t xml:space="preserve">When</t>
  </si>
  <si>
    <t xml:space="preserve">Data Period</t>
  </si>
  <si>
    <t xml:space="preserve">Scale</t>
  </si>
  <si>
    <t xml:space="preserve">Status</t>
  </si>
  <si>
    <t xml:space="preserve">What It Found / What It Built</t>
  </si>
  <si>
    <t xml:space="preserve">C1</t>
  </si>
  <si>
    <t xml:space="preserve">Conglomerate CEO System</t>
  </si>
  <si>
    <t xml:space="preserve">Cowork</t>
  </si>
  <si>
    <t xml:space="preserve">Feb 16-17</t>
  </si>
  <si>
    <t xml:space="preserve">N/A (infrastructure)</t>
  </si>
  <si>
    <t xml:space="preserve">18 Python files
4 divisions</t>
  </si>
  <si>
    <t xml:space="preserve">LIVE on VPS</t>
  </si>
  <si>
    <t xml:space="preserve">Built entire Willis Holdings autonomous CEO: orchestrator, 4 division collectors (Trading, IT, HR, Finance), decision engine with $500/$5K thresholds, briefing generator, Telegram bot. Deployed to VPS, cron running 2x daily. Morning briefing tested and delivered to Telegram.</t>
  </si>
  <si>
    <t xml:space="preserve">C2</t>
  </si>
  <si>
    <t xml:space="preserve">QC Batch Run (Model 1)</t>
  </si>
  <si>
    <t xml:space="preserve">VPS Cron</t>
  </si>
  <si>
    <t xml:space="preserve">Feb 15</t>
  </si>
  <si>
    <t xml:space="preserve">Jul-Sep 2025
(3 months)</t>
  </si>
  <si>
    <t xml:space="preserve">400 generated
50 tested
2-stage A/B</t>
  </si>
  <si>
    <t xml:space="preserve">Complete</t>
  </si>
  <si>
    <t xml:space="preserve">Sweep+IFVG strategy on QuantConnect. 50 variants ran Stage A (3-month screen), winners promoted to Stage B (12-month confirmation). Top: v4_combo_0056 at Sharpe 2.571, $63,682 net, 861 trades. NOTE: Ran with SLIPPAGE_PTS=1.0 (now corrected to 0.5 — re-run will improve results ~50% on cost side).</t>
  </si>
  <si>
    <t xml:space="preserve">C3</t>
  </si>
  <si>
    <t xml:space="preserve">Backtesting Audit</t>
  </si>
  <si>
    <t xml:space="preserve">Feb 15-16</t>
  </si>
  <si>
    <t xml:space="preserve">N/A (code review)</t>
  </si>
  <si>
    <t xml:space="preserve">main_v4.py
~1000 lines</t>
  </si>
  <si>
    <t xml:space="preserve">Professional audit of QC backtester. Found: slippage discrepancy (1.0 code vs 0.25 docs — NOW RESOLVED at 0.5), same-bar entry concern (FVG detected and entered same bar), position stacking properly prevented, BE offset correctly implemented. Documented in BACKTESTING_AUDIT.md.</t>
  </si>
  <si>
    <t xml:space="preserve">C4</t>
  </si>
  <si>
    <t xml:space="preserve">FVG Entry Timing Analysis</t>
  </si>
  <si>
    <t xml:space="preserve">Feb 16</t>
  </si>
  <si>
    <t xml:space="preserve">N/A (analysis)</t>
  </si>
  <si>
    <t xml:space="preserve">All entry logic</t>
  </si>
  <si>
    <t xml:space="preserve">Deep analysis of how FVG entries work in main_v4.py. Confirmed: tick-through requirement (0.25pt past entry), multi-timeframe scanning (7 TFs), dynamic stop logic (gap → swing → ATR fallback). Documented in FVG_ENTRY_TIMING_ANALYSIS.md.</t>
  </si>
  <si>
    <t xml:space="preserve">C5</t>
  </si>
  <si>
    <t xml:space="preserve">Brain Architecture Design</t>
  </si>
  <si>
    <t xml:space="preserve">N/A (design)</t>
  </si>
  <si>
    <t xml:space="preserve">10 divisions
full spec</t>
  </si>
  <si>
    <t xml:space="preserve">Designed the conglomerate architecture: 10 divisions (Trading, Arbitrage, Content, Real Estate, BizDev, Research, Finance, Fundraising, HR, IT). User stories, acceptance criteria, implementation plan. Documented in BRAIN_ARCHITECTURE.md.</t>
  </si>
  <si>
    <t xml:space="preserve">C6</t>
  </si>
  <si>
    <t xml:space="preserve">Slippage Resolution</t>
  </si>
  <si>
    <t xml:space="preserve">Feb 17</t>
  </si>
  <si>
    <t xml:space="preserve">N/A (code fix)</t>
  </si>
  <si>
    <t xml:space="preserve">main_v4.py +
5 doc files</t>
  </si>
  <si>
    <t xml:space="preserve">Harrison confirmed 0.5pt/side. Updated SLIPPAGE_PTS from 1.0→0.5, BE_COST_OFFSET_PTS from 0.50→0.75 (3 ticks). Updated main_v4.py, CLAUDE_BOOTSTRAP.md, CONTEXT.md, prd.json, trading.py collector. Pushed to GitHub.</t>
  </si>
  <si>
    <t xml:space="preserve">PHASE 2 — Signal Discovery &amp; Backtesting</t>
  </si>
  <si>
    <t xml:space="preserve">V7aa</t>
  </si>
  <si>
    <t xml:space="preserve">Cross-Tab Mining Analysis</t>
  </si>
  <si>
    <t xml:space="preserve">Claude Code</t>
  </si>
  <si>
    <t xml:space="preserve">Feb 14-15</t>
  </si>
  <si>
    <t xml:space="preserve">Full Year
(312 days)</t>
  </si>
  <si>
    <t xml:space="preserve">2,600+ combos
17 cross-tabs
4,991 trades</t>
  </si>
  <si>
    <t xml:space="preserve">Mined every combination of: 4 signal types × 8 sessions × 5 days × 4 alignment states × 5M/1M/2-bar/3-bar patterns. Found 31 FULL SIZE edges (WR&gt;=50%, Calmar&gt;10), 57 HALF SIZE, 104 SMALL SIZE. GOLDEN RULE: confirming alignment = +1.28R avg vs contradicting -0.35R. This is the single largest performance driver.</t>
  </si>
  <si>
    <t xml:space="preserve">V8a</t>
  </si>
  <si>
    <t xml:space="preserve">MTF Confluence Mining</t>
  </si>
  <si>
    <t xml:space="preserve">4,991 trades
all MTF combos</t>
  </si>
  <si>
    <t xml:space="preserve">Analyzed 1M/5M/15M alignment at each trade entry. KEY FINDING: both_pro (both TFs confirming) is THE primary filter. sweep_reversal becomes 66.1% WR when both TFs confirm. BOS_FVG at +1.39R avg with n=724. Confluence scales monotonically: conf&gt;=5 gives sweep 85.3% WR, BOS +1.65R avg. Also CONFIRMED: B/E at any level destroys edge (yet again).</t>
  </si>
  <si>
    <t xml:space="preserve">V8b</t>
  </si>
  <si>
    <t xml:space="preserve">Footprint &amp; Volume Triggers</t>
  </si>
  <si>
    <t xml:space="preserve">4,991 trades
new trigger types</t>
  </si>
  <si>
    <t xml:space="preserve">Added delta divergence, imbalance stacks, VP proximity, entry candle delta as new entry triggers. BOS+strong_imbalance = +2.73R avg. BOS+strong_sell_delta = +2.24R avg (n=106). 1+ new trigger present = 2.2x lift on BOS avg R (0.56→1.26), Calmar jumps 10→75. Best multi-trigger: imbalance+strong_delta = +4.59R avg, 50% WR.</t>
  </si>
  <si>
    <t xml:space="preserve">V8c</t>
  </si>
  <si>
    <t xml:space="preserve">Gap, Settlement &amp; OI</t>
  </si>
  <si>
    <t xml:space="preserve">4,991 trades
gap/vol/settle</t>
  </si>
  <si>
    <t xml:space="preserve">Analyzed gap size, previous day volatility, settlement zones. BOS_FVG THRIVES on huge gaps: 925 trades, +1,187R total. After extreme vol days: BOS averages +4.82R per trade (n=34). Settlement zones: BOS robust across all zones — no filter needed. Conclusion: big gap days and post-extreme-vol are the best conditions for BOS.</t>
  </si>
  <si>
    <t xml:space="preserve">V8d</t>
  </si>
  <si>
    <t xml:space="preserve">Walk-Forward Strategy Builder</t>
  </si>
  <si>
    <t xml:space="preserve">Full Year
70/30 split
218 train
94 test</t>
  </si>
  <si>
    <t xml:space="preserve">Strategy A/B
Combined</t>
  </si>
  <si>
    <t xml:space="preserve">Built 3 strategies from all V8 findings and walk-forward tested on 94 out-of-sample days. Strategy A (High Confidence): +4.31R/day, 65.3% daily WR, 94.4% weekly WR. Strategy B (Max R): +11.05R/day, 68.4% daily WR. Combined: +12.07R/day, 917R in 94 days. Every test month positive. 17/18 weeks profitable.</t>
  </si>
  <si>
    <t xml:space="preserve">V8e</t>
  </si>
  <si>
    <t xml:space="preserve">Session, Day &amp; Momentum</t>
  </si>
  <si>
    <t xml:space="preserve">All signal×session
×DOW×momentum</t>
  </si>
  <si>
    <t xml:space="preserve">Deep dive on when to trade each signal. BOS best in ny_am (+1.42R) and ib_first (+1.38R). VA_fade KILLS in 5 sessions (london_open, ny_am, silver_bullet, power_hour, ib_first — all negative R). After a big win day → next day averages +9.96R at 68.3% WR. London winning → NY still +4.84R avg.</t>
  </si>
  <si>
    <t xml:space="preserve">V8f</t>
  </si>
  <si>
    <t xml:space="preserve">Strategy A Rebuild (55% WR)</t>
  </si>
  <si>
    <t xml:space="preserve">Full Year
70/30 split</t>
  </si>
  <si>
    <t xml:space="preserve">7 candidates
walk-forward</t>
  </si>
  <si>
    <t xml:space="preserve">Tried to hit 55%+ trade-level WR. Systematically scanned ALL filter combos. Only sweep_reversal achieves 55%+ trade WR (BOS maxes ~44% due to limit order mechanics). Best: A1 sweep_both_pro = 84.6% trade WR but only 0.14 trades/day. Best practical: A4 (sweep_15m_pro OR BOS_bp_c3) = +449R in 94 days, Calmar 52.7. Key finding: pre-computed conf_score differs from live scanner confluence — explains gap between filter scan and walk-forward WR.</t>
  </si>
  <si>
    <t xml:space="preserve">V8g</t>
  </si>
  <si>
    <t xml:space="preserve">Multi-TF Candle Alignment (6 TFs)</t>
  </si>
  <si>
    <t xml:space="preserve">7,230 trades
6 timeframes</t>
  </si>
  <si>
    <t xml:space="preserve">THE BREAKTHROUGH. Classified candle direction at 1M/3M/5M/10M/15M/1H at each trade entry. Monotonic relationship: more confirming TFs = higher WR. BOS &gt;=3 confirming + 0 contradicting = 80.3% WR (n=117, +5.10R avg). sweep 3M+5M+15M+1H all confirming = 79.8% WR (n=109). DROP 1M (useless — contradicting actually beats confirming). Best TF spread: 10M (+20.1pp confirming vs contradicting).</t>
  </si>
  <si>
    <t xml:space="preserve">PORTFOLIO CONSTRUCTION</t>
  </si>
  <si>
    <t xml:space="preserve">Decomposition of each portfolio strategy into its constituent trade signals and filter criteria.</t>
  </si>
  <si>
    <t xml:space="preserve">SNIPER PORTFOLIO — 75%+ Win Rate, Highest Conviction</t>
  </si>
  <si>
    <t xml:space="preserve">The Sniper fires ~1 trade/day with ~80% win rate. Built from 2 non-overlapping signal legs that almost never fire on the same bar. Combined: ~226 trades/year, ~893 R/year.</t>
  </si>
  <si>
    <t xml:space="preserve">Leg</t>
  </si>
  <si>
    <t xml:space="preserve">Filter Applied</t>
  </si>
  <si>
    <t xml:space="preserve">n (trades)</t>
  </si>
  <si>
    <t xml:space="preserve">Source</t>
  </si>
  <si>
    <t xml:space="preserve">A</t>
  </si>
  <si>
    <t xml:space="preserve">&gt;=3 timeframes confirming + 0 contradicting (6-TF check)</t>
  </si>
  <si>
    <t xml:space="preserve">80.3%</t>
  </si>
  <si>
    <t xml:space="preserve">+5.10</t>
  </si>
  <si>
    <t xml:space="preserve">B</t>
  </si>
  <si>
    <t xml:space="preserve">3M + 5M + 15M + 1H all confirming (4-TF alignment)</t>
  </si>
  <si>
    <t xml:space="preserve">79.8%</t>
  </si>
  <si>
    <t xml:space="preserve">+2.72</t>
  </si>
  <si>
    <t xml:space="preserve">A+B</t>
  </si>
  <si>
    <t xml:space="preserve">COMBINED</t>
  </si>
  <si>
    <t xml:space="preserve">Both legs run simultaneously — different signals, minimal overlap</t>
  </si>
  <si>
    <t xml:space="preserve">~80.1%</t>
  </si>
  <si>
    <t xml:space="preserve">Why these two legs: BOS_FVG and sweep_reversal have different entry triggers (limit order vs market order). A BOS trade fires when price fills a gap after breaking structure. A sweep trade fires when price traps traders and reverses. They respond to different market conditions, so combining them adds volume without diluting WR.</t>
  </si>
  <si>
    <t xml:space="preserve">SHARPSHOOTER PORTFOLIO — 70%+ Win Rate, Balanced Precision &amp; Volume</t>
  </si>
  <si>
    <t xml:space="preserve">The Sharpshooter loosens the filter from &gt;=3TF+0contra / 4-TF to &gt;=5TF confirming. This captures more trades while keeping WR above 70%. ~1.5 trades/day, ~1,181 R/year.</t>
  </si>
  <si>
    <t xml:space="preserve">&gt;=5 timeframes confirming (6-TF check)</t>
  </si>
  <si>
    <t xml:space="preserve">73.6%</t>
  </si>
  <si>
    <t xml:space="preserve">+3.80</t>
  </si>
  <si>
    <t xml:space="preserve">69.5%</t>
  </si>
  <si>
    <t xml:space="preserve">+2.54</t>
  </si>
  <si>
    <t xml:space="preserve">Both legs run simultaneously — same TF filter, different signals</t>
  </si>
  <si>
    <t xml:space="preserve">~71.3%</t>
  </si>
  <si>
    <t xml:space="preserve">~1,154</t>
  </si>
  <si>
    <t xml:space="preserve">Sharpshooter vs Sniper: The &gt;=5TF filter is slightly looser than &gt;=3TF+0contra, so it captures ~155 more trades/year. WR drops from ~80% to ~71%, but total R/year jumps from ~893 to ~1,154 — 29% more R production.</t>
  </si>
  <si>
    <t xml:space="preserve">THE FILTERED EDGE — 50%+ Win Rate, Maximum R Production</t>
  </si>
  <si>
    <t xml:space="preserve">The Filtered Edge includes every trade with 50%+ WR across all 3 signal types. ~6.4 trades/day, 1,642 trades/year. Generates the most total R by trading volume.</t>
  </si>
  <si>
    <t xml:space="preserve">&gt;=3 timeframes confirming (includes Sniper trades)</t>
  </si>
  <si>
    <t xml:space="preserve">51.2%</t>
  </si>
  <si>
    <t xml:space="preserve">+1.85</t>
  </si>
  <si>
    <t xml:space="preserve">Confirming alignment (any session)</t>
  </si>
  <si>
    <t xml:space="preserve">58.4%</t>
  </si>
  <si>
    <t xml:space="preserve">+1.38</t>
  </si>
  <si>
    <t xml:space="preserve">C</t>
  </si>
  <si>
    <t xml:space="preserve">Overlap session + confirming alignment</t>
  </si>
  <si>
    <t xml:space="preserve">50.6%</t>
  </si>
  <si>
    <t xml:space="preserve">+1.36</t>
  </si>
  <si>
    <t xml:space="preserve">A+B+C</t>
  </si>
  <si>
    <t xml:space="preserve">3 non-overlapping signal types, each with its own filter</t>
  </si>
  <si>
    <t xml:space="preserve">V7aa/V8g</t>
  </si>
  <si>
    <t xml:space="preserve">The 3 legs are non-overlapping — BOS, sweep, and VA are different signal types with different entry triggers. Each has its own best filter. Leg A uses timeframe alignment, Leg B uses directional alignment, Leg C uses session + alignment gating. Combined: filters out ~67% of baseline trades, keeping only the ones with 50%+ win rate.</t>
  </si>
  <si>
    <t xml:space="preserve">HOW THE PORTFOLIOS NEST INSIDE EACH OTHER</t>
  </si>
  <si>
    <t xml:space="preserve">Think of it as a set of concentric circles. The Sniper is the innermost ring — the most filtered, highest WR, fewest trades. The Sharpshooter is the next ring out — slightly looser filter, more trades. The Filtered Edge is the outer ring — everything with positive expectancy. Every Sniper trade is also a Sharpshooter trade. Every Sharpshooter trade is also a Filtered Edge trade. You are not choosing between them — you are choosing how much filtering to apply.</t>
  </si>
  <si>
    <t xml:space="preserve">RECOMMENDED DEPLOYMENT: OVERLAY APPROACH</t>
  </si>
  <si>
    <t xml:space="preserve">Run The Filtered Edge as the base portfolio (~6 trades/day at 1R sizing). When a trade ALSO passes the Sniper filter (80%+ WR), size it at 2R. This captures the full volume of The Filtered Edge while concentrating capital on the highest-conviction trades. Expected result: ~2,604R base + additional R from 2x sizing on ~226 sniper trades.</t>
  </si>
  <si>
    <t xml:space="preserve">COMPLETE TRADE STRATEGY MENU — Every Setup by Win Rate</t>
  </si>
  <si>
    <t xml:space="preserve">Every tested filter combination with 50%+ WR, sorted by win rate. The portfolios above are assembled from these individual strategies. Portfolio = which strategies you include. Higher WR filters = fewer trades but more conviction per trade.</t>
  </si>
  <si>
    <t xml:space="preserve">TIER 1: 75%+ WIN RATE — Sniper-Grade Setups</t>
  </si>
  <si>
    <t xml:space="preserve">Signal + Filter Combo</t>
  </si>
  <si>
    <t xml:space="preserve">VA_fade + overlap + pro_15m_counter_5m</t>
  </si>
  <si>
    <t xml:space="preserve">87.5%</t>
  </si>
  <si>
    <t xml:space="preserve">+5.24</t>
  </si>
  <si>
    <t xml:space="preserve">sweep + conf&gt;=5 + 5M confirming</t>
  </si>
  <si>
    <t xml:space="preserve">85.3%</t>
  </si>
  <si>
    <t xml:space="preserve">+2.74</t>
  </si>
  <si>
    <t xml:space="preserve">sweep + both_pro + 5M confirm (walk-forward)</t>
  </si>
  <si>
    <t xml:space="preserve">84.6%</t>
  </si>
  <si>
    <t xml:space="preserve">+2.82</t>
  </si>
  <si>
    <t xml:space="preserve">V8f WF</t>
  </si>
  <si>
    <t xml:space="preserve">BOS + strong_close candle</t>
  </si>
  <si>
    <t xml:space="preserve">83.9%</t>
  </si>
  <si>
    <t xml:space="preserve">+6.15</t>
  </si>
  <si>
    <t xml:space="preserve">V7r</t>
  </si>
  <si>
    <t xml:space="preserve">BOS &gt;=3TF confirm + 0 contradict (6-TF)</t>
  </si>
  <si>
    <t xml:space="preserve">sweep + 3M+5M+15M+1H all confirming</t>
  </si>
  <si>
    <t xml:space="preserve">sweep + ib_first + both_pro</t>
  </si>
  <si>
    <t xml:space="preserve">76.9%</t>
  </si>
  <si>
    <t xml:space="preserve">+2.26</t>
  </si>
  <si>
    <t xml:space="preserve">sweep + 5M+15M+1H all confirming</t>
  </si>
  <si>
    <t xml:space="preserve">+2.61</t>
  </si>
  <si>
    <t xml:space="preserve">strong_close_bear + sweep + ny_am</t>
  </si>
  <si>
    <t xml:space="preserve">75.0%</t>
  </si>
  <si>
    <t xml:space="preserve">+3.12</t>
  </si>
  <si>
    <t xml:space="preserve">TIER 2: 60-75% WIN RATE — Sharpshooter-Grade Setups</t>
  </si>
  <si>
    <t xml:space="preserve">BOS &gt;=5 TF confirming</t>
  </si>
  <si>
    <t xml:space="preserve">sweep 10M+15M+1H all confirming</t>
  </si>
  <si>
    <t xml:space="preserve">+2.33</t>
  </si>
  <si>
    <t xml:space="preserve">doji_dragonfly (1M) + ny_am</t>
  </si>
  <si>
    <t xml:space="preserve">72.7%</t>
  </si>
  <si>
    <t xml:space="preserve">+3.87</t>
  </si>
  <si>
    <t xml:space="preserve">sweep conf&gt;=4 + 5M confirming</t>
  </si>
  <si>
    <t xml:space="preserve">70.4%</t>
  </si>
  <si>
    <t xml:space="preserve">+2.24</t>
  </si>
  <si>
    <t xml:space="preserve">sweep &gt;=5 TF confirming</t>
  </si>
  <si>
    <t xml:space="preserve">BOS + conf&gt;=7</t>
  </si>
  <si>
    <t xml:space="preserve">69.2%</t>
  </si>
  <si>
    <t xml:space="preserve">+3.63</t>
  </si>
  <si>
    <t xml:space="preserve">doji_dragonfly (1M) + BOS</t>
  </si>
  <si>
    <t xml:space="preserve">67.4%</t>
  </si>
  <si>
    <t xml:space="preserve">+2.69</t>
  </si>
  <si>
    <t xml:space="preserve">sweep + both_pro (no 5M gate)</t>
  </si>
  <si>
    <t xml:space="preserve">66.1%</t>
  </si>
  <si>
    <t xml:space="preserve">+2.07</t>
  </si>
  <si>
    <t xml:space="preserve">sweep conf&gt;=3 + 5M confirming</t>
  </si>
  <si>
    <t xml:space="preserve">66.7%</t>
  </si>
  <si>
    <t xml:space="preserve">+1.89</t>
  </si>
  <si>
    <t xml:space="preserve">marubozu_bull + long direction</t>
  </si>
  <si>
    <t xml:space="preserve">64.8%</t>
  </si>
  <si>
    <t xml:space="preserve">+2.36</t>
  </si>
  <si>
    <t xml:space="preserve">sweep + confirming + power_hour</t>
  </si>
  <si>
    <t xml:space="preserve">63.8%</t>
  </si>
  <si>
    <t xml:space="preserve">+1.28</t>
  </si>
  <si>
    <t xml:space="preserve">BOS + shooting_star (1M)</t>
  </si>
  <si>
    <t xml:space="preserve">63.6%</t>
  </si>
  <si>
    <t xml:space="preserve">+2.41</t>
  </si>
  <si>
    <t xml:space="preserve">sweep + confirming + Monday</t>
  </si>
  <si>
    <t xml:space="preserve">62.3%</t>
  </si>
  <si>
    <t xml:space="preserve">+1.47</t>
  </si>
  <si>
    <t xml:space="preserve">sweep + confirming + london_open</t>
  </si>
  <si>
    <t xml:space="preserve">61.9%</t>
  </si>
  <si>
    <t xml:space="preserve">+1.32</t>
  </si>
  <si>
    <t xml:space="preserve">bullish_engulfing (2bar) + silver_bullet</t>
  </si>
  <si>
    <t xml:space="preserve">+2.81</t>
  </si>
  <si>
    <t xml:space="preserve">TIER 3: 50-60% WIN RATE — Filtered Edge Grade</t>
  </si>
  <si>
    <t xml:space="preserve">sweep + ny_am + confirming</t>
  </si>
  <si>
    <t xml:space="preserve">59.7%</t>
  </si>
  <si>
    <t xml:space="preserve">sweep + confirming + Friday</t>
  </si>
  <si>
    <t xml:space="preserve">59.8%</t>
  </si>
  <si>
    <t xml:space="preserve">+1.60</t>
  </si>
  <si>
    <t xml:space="preserve">sweep + confirming (any session)</t>
  </si>
  <si>
    <t xml:space="preserve">strong_close_bear + short direction</t>
  </si>
  <si>
    <t xml:space="preserve">57.4%</t>
  </si>
  <si>
    <t xml:space="preserve">+2.48</t>
  </si>
  <si>
    <t xml:space="preserve">strong_close_bull + long direction</t>
  </si>
  <si>
    <t xml:space="preserve">56.8%</t>
  </si>
  <si>
    <t xml:space="preserve">+2.23</t>
  </si>
  <si>
    <t xml:space="preserve">BOS + doji_gravestone (1M)</t>
  </si>
  <si>
    <t xml:space="preserve">55.6%</t>
  </si>
  <si>
    <t xml:space="preserve">+3.96</t>
  </si>
  <si>
    <t xml:space="preserve">BOS + hammer (1M)</t>
  </si>
  <si>
    <t xml:space="preserve">56.5%</t>
  </si>
  <si>
    <t xml:space="preserve">+3.67</t>
  </si>
  <si>
    <t xml:space="preserve">VA_fade + news_window + confirming</t>
  </si>
  <si>
    <t xml:space="preserve">56.4%</t>
  </si>
  <si>
    <t xml:space="preserve">+1.77</t>
  </si>
  <si>
    <t xml:space="preserve">BOS &gt;=3 TF confirming</t>
  </si>
  <si>
    <t xml:space="preserve">VA_fade + first daily win (after)</t>
  </si>
  <si>
    <t xml:space="preserve">50.9%</t>
  </si>
  <si>
    <t xml:space="preserve">+varies</t>
  </si>
  <si>
    <t xml:space="preserve">—</t>
  </si>
  <si>
    <t xml:space="preserve">VA_fade + overlap + confirming</t>
  </si>
  <si>
    <t xml:space="preserve">BOS + imbalance + strong_delta</t>
  </si>
  <si>
    <t xml:space="preserve">50.0%</t>
  </si>
  <si>
    <t xml:space="preserve">+4.59</t>
  </si>
  <si>
    <t xml:space="preserve">UNTESTED STACKS — Priority Validation Targets</t>
  </si>
  <si>
    <t xml:space="preserve">These combine independently proven filters that have NOT been tested together yet. Each filter works alone — stacking should maintain or improve WR. Minimum viable sample: 30 trades/year.</t>
  </si>
  <si>
    <t xml:space="preserve">Priority</t>
  </si>
  <si>
    <t xml:space="preserve">Proposed Stack</t>
  </si>
  <si>
    <t xml:space="preserve">Filter 1 WR</t>
  </si>
  <si>
    <t xml:space="preserve">Filter 2 WR</t>
  </si>
  <si>
    <t xml:space="preserve">Expected WR</t>
  </si>
  <si>
    <t xml:space="preserve">Expected R</t>
  </si>
  <si>
    <t xml:space="preserve">Rationale</t>
  </si>
  <si>
    <t xml:space="preserve">Tool</t>
  </si>
  <si>
    <t xml:space="preserve">P0</t>
  </si>
  <si>
    <t xml:space="preserve">BOS &gt;=3TF + imbalance</t>
  </si>
  <si>
    <t xml:space="preserve">+2.73R</t>
  </si>
  <si>
    <t xml:space="preserve">&gt;80%</t>
  </si>
  <si>
    <t xml:space="preserve">&gt;5R</t>
  </si>
  <si>
    <t xml:space="preserve">TF alignment + order flow. Both proven independently.</t>
  </si>
  <si>
    <t xml:space="preserve">NOT RUN</t>
  </si>
  <si>
    <t xml:space="preserve">cross_mining_engine.py</t>
  </si>
  <si>
    <t xml:space="preserve">BOS &gt;=3TF + strong_delta</t>
  </si>
  <si>
    <t xml:space="preserve">+2.24R</t>
  </si>
  <si>
    <t xml:space="preserve">TF alignment + delta momentum.</t>
  </si>
  <si>
    <t xml:space="preserve">P1</t>
  </si>
  <si>
    <t xml:space="preserve">sweep conf&gt;=5 + &gt;=3TF</t>
  </si>
  <si>
    <t xml:space="preserve">70.3%</t>
  </si>
  <si>
    <t xml:space="preserve">&gt;85%</t>
  </si>
  <si>
    <t xml:space="preserve">&gt;3R</t>
  </si>
  <si>
    <t xml:space="preserve">Confluence + TF alignment on sweep.</t>
  </si>
  <si>
    <t xml:space="preserve">BOS &gt;=3TF + strong_close</t>
  </si>
  <si>
    <t xml:space="preserve">&gt;6R</t>
  </si>
  <si>
    <t xml:space="preserve">TF alignment + candle pattern.</t>
  </si>
  <si>
    <t xml:space="preserve">BOS &gt;=3TF + doji pattern</t>
  </si>
  <si>
    <t xml:space="preserve">&gt;75%</t>
  </si>
  <si>
    <t xml:space="preserve">&gt;4R</t>
  </si>
  <si>
    <t xml:space="preserve">TF alignment + reversal candle.</t>
  </si>
  <si>
    <t xml:space="preserve">P2</t>
  </si>
  <si>
    <t xml:space="preserve">sweep &gt;=3TF + momentum</t>
  </si>
  <si>
    <t xml:space="preserve">+9.96R</t>
  </si>
  <si>
    <t xml:space="preserve">&gt;70%</t>
  </si>
  <si>
    <t xml:space="preserve">TF alignment + preceding day momentum.</t>
  </si>
  <si>
    <t xml:space="preserve">BOS &gt;=3TF + gap + imbalance</t>
  </si>
  <si>
    <t xml:space="preserve">multi</t>
  </si>
  <si>
    <t xml:space="preserve">Triple stack: TF + gap context + order flow.</t>
  </si>
  <si>
    <t xml:space="preserve">RISK &amp; POSITION SIZING ANALYSIS</t>
  </si>
  <si>
    <t xml:space="preserve">Probabilistic analysis of drawdown, ruin, and optimal position sizing across portfolio configurations.</t>
  </si>
  <si>
    <t xml:space="preserve">PORTFOLIO PARAMETERS</t>
  </si>
  <si>
    <t xml:space="preserve">Win Rate</t>
  </si>
  <si>
    <t xml:space="preserve">Loss Rate</t>
  </si>
  <si>
    <t xml:space="preserve">R/Day</t>
  </si>
  <si>
    <t xml:space="preserve">Avg Win R*</t>
  </si>
  <si>
    <t xml:space="preserve">Avg Loss R*</t>
  </si>
  <si>
    <t xml:space="preserve">80.0%</t>
  </si>
  <si>
    <t xml:space="preserve">20.0%</t>
  </si>
  <si>
    <t xml:space="preserve">+3.95</t>
  </si>
  <si>
    <t xml:space="preserve">0.9</t>
  </si>
  <si>
    <t xml:space="preserve">893</t>
  </si>
  <si>
    <t xml:space="preserve">+3.44</t>
  </si>
  <si>
    <t xml:space="preserve">+5.19</t>
  </si>
  <si>
    <t xml:space="preserve">-1.00</t>
  </si>
  <si>
    <t xml:space="preserve">72.0%</t>
  </si>
  <si>
    <t xml:space="preserve">28.0%</t>
  </si>
  <si>
    <t xml:space="preserve">+3.10</t>
  </si>
  <si>
    <t xml:space="preserve">1.5</t>
  </si>
  <si>
    <t xml:space="preserve">1,181</t>
  </si>
  <si>
    <t xml:space="preserve">+4.65</t>
  </si>
  <si>
    <t xml:space="preserve">+4.69</t>
  </si>
  <si>
    <t xml:space="preserve">Filtered Edge</t>
  </si>
  <si>
    <t xml:space="preserve">46.3%</t>
  </si>
  <si>
    <t xml:space="preserve">+1.59</t>
  </si>
  <si>
    <t xml:space="preserve">2,611</t>
  </si>
  <si>
    <t xml:space="preserve">+10.18</t>
  </si>
  <si>
    <t xml:space="preserve">+3.82</t>
  </si>
  <si>
    <t xml:space="preserve">Strategy A (OOS)</t>
  </si>
  <si>
    <t xml:space="preserve">45.0%</t>
  </si>
  <si>
    <t xml:space="preserve">55.0%</t>
  </si>
  <si>
    <t xml:space="preserve">+0.86</t>
  </si>
  <si>
    <t xml:space="preserve">5.0</t>
  </si>
  <si>
    <t xml:space="preserve">1,109</t>
  </si>
  <si>
    <t xml:space="preserve">+4.30</t>
  </si>
  <si>
    <t xml:space="preserve">+3.13</t>
  </si>
  <si>
    <t xml:space="preserve">Baseline</t>
  </si>
  <si>
    <t xml:space="preserve">73.5%</t>
  </si>
  <si>
    <t xml:space="preserve">+0.58</t>
  </si>
  <si>
    <t xml:space="preserve">2,920</t>
  </si>
  <si>
    <t xml:space="preserve">+11.29</t>
  </si>
  <si>
    <t xml:space="preserve">+4.98</t>
  </si>
  <si>
    <t xml:space="preserve">* Avg Win R = back-computed from net R/Trade and WR. Avg Loss R = 1R (the amount risked). R/Trade = WR × Avg Win - (1-WR) × 1R.</t>
  </si>
  <si>
    <t xml:space="preserve">EXPECTED MAXIMUM LOSING STREAKS (Per Year)</t>
  </si>
  <si>
    <t xml:space="preserve">How many losses in a row should you expect? Higher WR = shorter streaks. These numbers determine your worst drawdown.</t>
  </si>
  <si>
    <t xml:space="preserve">Formula: Expected max streak in N trades ≈ log(N) / log(1 / loss_rate). The 95th percentile adds ~2.5 to the expected value.</t>
  </si>
  <si>
    <t xml:space="preserve">Expected
Max Streak</t>
  </si>
  <si>
    <t xml:space="preserve">95th Percentile
Max Streak</t>
  </si>
  <si>
    <t xml:space="preserve">Prob of 5+
Consec Losses</t>
  </si>
  <si>
    <t xml:space="preserve">Prob of 8+
Consec Losses</t>
  </si>
  <si>
    <t xml:space="preserve">Prob of 10+
Consec Losses</t>
  </si>
  <si>
    <t xml:space="preserve">Prob of 15+
Consec Losses</t>
  </si>
  <si>
    <t xml:space="preserve">3.4</t>
  </si>
  <si>
    <t xml:space="preserve">5.9</t>
  </si>
  <si>
    <t xml:space="preserve">6.9%</t>
  </si>
  <si>
    <t xml:space="preserve">0.1%</t>
  </si>
  <si>
    <t xml:space="preserve">0.0%</t>
  </si>
  <si>
    <t xml:space="preserve">4.7</t>
  </si>
  <si>
    <t xml:space="preserve">7.2</t>
  </si>
  <si>
    <t xml:space="preserve">47.8%</t>
  </si>
  <si>
    <t xml:space="preserve">1.4%</t>
  </si>
  <si>
    <t xml:space="preserve">9.6</t>
  </si>
  <si>
    <t xml:space="preserve">12.1</t>
  </si>
  <si>
    <t xml:space="preserve">100.0%</t>
  </si>
  <si>
    <t xml:space="preserve">96.8%</t>
  </si>
  <si>
    <t xml:space="preserve">52.3%</t>
  </si>
  <si>
    <t xml:space="preserve">1.6%</t>
  </si>
  <si>
    <t xml:space="preserve">12.0</t>
  </si>
  <si>
    <t xml:space="preserve">14.5</t>
  </si>
  <si>
    <t xml:space="preserve">96.1%</t>
  </si>
  <si>
    <t xml:space="preserve">15.0%</t>
  </si>
  <si>
    <t xml:space="preserve">27.7</t>
  </si>
  <si>
    <t xml:space="preserve">30.2</t>
  </si>
  <si>
    <t xml:space="preserve">KEY INSIGHT: Sniper expects max 3-4 losses in a row per year. Baseline expects 28+. This is why WR matters for sizing — it directly determines how deep your drawdowns go.</t>
  </si>
  <si>
    <t xml:space="preserve">DRAWDOWN TABLE — Expected &amp; Worst-Case by Portfolio × Risk Level</t>
  </si>
  <si>
    <t xml:space="preserve">Drawdown = 1 - (1 - risk_per_trade)^consecutive_losses. Fixed fractional sizing means you never literally bust to zero, but hitting 50%+ DD is practically a bust. Green = safe, Yellow = aggressive, Red = will likely bust.</t>
  </si>
  <si>
    <t xml:space="preserve">Risk/Trade</t>
  </si>
  <si>
    <t xml:space="preserve">Expected
Max DD</t>
  </si>
  <si>
    <t xml:space="preserve">95th Pctl
Streak</t>
  </si>
  <si>
    <t xml:space="preserve">95th Pctl
DD</t>
  </si>
  <si>
    <t xml:space="preserve">Losses to
50% DD</t>
  </si>
  <si>
    <t xml:space="preserve">P(50% DD
in 1 year)</t>
  </si>
  <si>
    <t xml:space="preserve">Annual
Return (simple)</t>
  </si>
  <si>
    <t xml:space="preserve">Verdict</t>
  </si>
  <si>
    <t xml:space="preserve">0.5%</t>
  </si>
  <si>
    <t xml:space="preserve">2.0%</t>
  </si>
  <si>
    <t xml:space="preserve">3.0%</t>
  </si>
  <si>
    <t xml:space="preserve">138</t>
  </si>
  <si>
    <t xml:space="preserve">0.00%</t>
  </si>
  <si>
    <t xml:space="preserve">446%</t>
  </si>
  <si>
    <t xml:space="preserve">SAFE</t>
  </si>
  <si>
    <t xml:space="preserve">1.0%</t>
  </si>
  <si>
    <t xml:space="preserve">3.9%</t>
  </si>
  <si>
    <t xml:space="preserve">5.9%</t>
  </si>
  <si>
    <t xml:space="preserve">69</t>
  </si>
  <si>
    <t xml:space="preserve">893%</t>
  </si>
  <si>
    <t xml:space="preserve">7.8%</t>
  </si>
  <si>
    <t xml:space="preserve">11.4%</t>
  </si>
  <si>
    <t xml:space="preserve">34</t>
  </si>
  <si>
    <t xml:space="preserve">1786%</t>
  </si>
  <si>
    <t xml:space="preserve">11.5%</t>
  </si>
  <si>
    <t xml:space="preserve">16.7%</t>
  </si>
  <si>
    <t xml:space="preserve">23</t>
  </si>
  <si>
    <t xml:space="preserve">2679%</t>
  </si>
  <si>
    <t xml:space="preserve">CONSERVATIVE</t>
  </si>
  <si>
    <t xml:space="preserve">5.0%</t>
  </si>
  <si>
    <t xml:space="preserve">18.5%</t>
  </si>
  <si>
    <t xml:space="preserve">14</t>
  </si>
  <si>
    <t xml:space="preserve">4465%</t>
  </si>
  <si>
    <t xml:space="preserve">10.0%</t>
  </si>
  <si>
    <t xml:space="preserve">34.4%</t>
  </si>
  <si>
    <t xml:space="preserve">46.9%</t>
  </si>
  <si>
    <t xml:space="preserve">7</t>
  </si>
  <si>
    <t xml:space="preserve">0.28%</t>
  </si>
  <si>
    <t xml:space="preserve">8930%</t>
  </si>
  <si>
    <t xml:space="preserve">AGGRESSIVE</t>
  </si>
  <si>
    <t xml:space="preserve">4</t>
  </si>
  <si>
    <t xml:space="preserve">6.86%</t>
  </si>
  <si>
    <t xml:space="preserve">13395%</t>
  </si>
  <si>
    <t xml:space="preserve">DANGEROUS</t>
  </si>
  <si>
    <t xml:space="preserve">59.0%</t>
  </si>
  <si>
    <t xml:space="preserve">73.8%</t>
  </si>
  <si>
    <t xml:space="preserve">3</t>
  </si>
  <si>
    <t xml:space="preserve">30.03%</t>
  </si>
  <si>
    <t xml:space="preserve">17860%</t>
  </si>
  <si>
    <t xml:space="preserve">WILL BUST</t>
  </si>
  <si>
    <t xml:space="preserve">2.5%</t>
  </si>
  <si>
    <t xml:space="preserve">590%</t>
  </si>
  <si>
    <t xml:space="preserve">4.9%</t>
  </si>
  <si>
    <t xml:space="preserve">7.7%</t>
  </si>
  <si>
    <t xml:space="preserve">1181%</t>
  </si>
  <si>
    <t xml:space="preserve">9.6%</t>
  </si>
  <si>
    <t xml:space="preserve">14.9%</t>
  </si>
  <si>
    <t xml:space="preserve">2362%</t>
  </si>
  <si>
    <t xml:space="preserve">14.1%</t>
  </si>
  <si>
    <t xml:space="preserve">21.6%</t>
  </si>
  <si>
    <t xml:space="preserve">3543%</t>
  </si>
  <si>
    <t xml:space="preserve">22.6%</t>
  </si>
  <si>
    <t xml:space="preserve">33.7%</t>
  </si>
  <si>
    <t xml:space="preserve">5905%</t>
  </si>
  <si>
    <t xml:space="preserve">41.0%</t>
  </si>
  <si>
    <t xml:space="preserve">57.0%</t>
  </si>
  <si>
    <t xml:space="preserve">4.93%</t>
  </si>
  <si>
    <t xml:space="preserve">11810%</t>
  </si>
  <si>
    <t xml:space="preserve">72.8%</t>
  </si>
  <si>
    <t xml:space="preserve">47.76%</t>
  </si>
  <si>
    <t xml:space="preserve">17715%</t>
  </si>
  <si>
    <t xml:space="preserve">67.2%</t>
  </si>
  <si>
    <t xml:space="preserve">83.2%</t>
  </si>
  <si>
    <t xml:space="preserve">90.28%</t>
  </si>
  <si>
    <t xml:space="preserve">23620%</t>
  </si>
  <si>
    <t xml:space="preserve">6.3%</t>
  </si>
  <si>
    <t xml:space="preserve">1306%</t>
  </si>
  <si>
    <t xml:space="preserve">12.2%</t>
  </si>
  <si>
    <t xml:space="preserve">2611%</t>
  </si>
  <si>
    <t xml:space="preserve">18.3%</t>
  </si>
  <si>
    <t xml:space="preserve">23.1%</t>
  </si>
  <si>
    <t xml:space="preserve">5222%</t>
  </si>
  <si>
    <t xml:space="preserve">26.3%</t>
  </si>
  <si>
    <t xml:space="preserve">32.7%</t>
  </si>
  <si>
    <t xml:space="preserve">7833%</t>
  </si>
  <si>
    <t xml:space="preserve">40.1%</t>
  </si>
  <si>
    <t xml:space="preserve">48.7%</t>
  </si>
  <si>
    <t xml:space="preserve">3.33%</t>
  </si>
  <si>
    <t xml:space="preserve">13055%</t>
  </si>
  <si>
    <t xml:space="preserve">65.1%</t>
  </si>
  <si>
    <t xml:space="preserve">74.6%</t>
  </si>
  <si>
    <t xml:space="preserve">99.94%</t>
  </si>
  <si>
    <t xml:space="preserve">26110%</t>
  </si>
  <si>
    <t xml:space="preserve">87.9%</t>
  </si>
  <si>
    <t xml:space="preserve">100.00%</t>
  </si>
  <si>
    <t xml:space="preserve">39165%</t>
  </si>
  <si>
    <t xml:space="preserve">89.3%</t>
  </si>
  <si>
    <t xml:space="preserve">94.5%</t>
  </si>
  <si>
    <t xml:space="preserve">52220%</t>
  </si>
  <si>
    <t xml:space="preserve">5.8%</t>
  </si>
  <si>
    <t xml:space="preserve">7.2%</t>
  </si>
  <si>
    <t xml:space="preserve">554%</t>
  </si>
  <si>
    <t xml:space="preserve">14.0%</t>
  </si>
  <si>
    <t xml:space="preserve">1109%</t>
  </si>
  <si>
    <t xml:space="preserve">21.5%</t>
  </si>
  <si>
    <t xml:space="preserve">26.1%</t>
  </si>
  <si>
    <t xml:space="preserve">2218%</t>
  </si>
  <si>
    <t xml:space="preserve">30.6%</t>
  </si>
  <si>
    <t xml:space="preserve">36.7%</t>
  </si>
  <si>
    <t xml:space="preserve">0.14%</t>
  </si>
  <si>
    <t xml:space="preserve">3327%</t>
  </si>
  <si>
    <t xml:space="preserve">46.0%</t>
  </si>
  <si>
    <t xml:space="preserve">25.62%</t>
  </si>
  <si>
    <t xml:space="preserve">5545%</t>
  </si>
  <si>
    <t xml:space="preserve">71.8%</t>
  </si>
  <si>
    <t xml:space="preserve">79.4%</t>
  </si>
  <si>
    <t xml:space="preserve">11090%</t>
  </si>
  <si>
    <t xml:space="preserve">85.8%</t>
  </si>
  <si>
    <t xml:space="preserve">91.3%</t>
  </si>
  <si>
    <t xml:space="preserve">16635%</t>
  </si>
  <si>
    <t xml:space="preserve">93.1%</t>
  </si>
  <si>
    <t xml:space="preserve">96.5%</t>
  </si>
  <si>
    <t xml:space="preserve">22180%</t>
  </si>
  <si>
    <t xml:space="preserve">13.1%</t>
  </si>
  <si>
    <t xml:space="preserve">14.4%</t>
  </si>
  <si>
    <t xml:space="preserve">1460%</t>
  </si>
  <si>
    <t xml:space="preserve">24.5%</t>
  </si>
  <si>
    <t xml:space="preserve">26.8%</t>
  </si>
  <si>
    <t xml:space="preserve">2920%</t>
  </si>
  <si>
    <t xml:space="preserve">43.2%</t>
  </si>
  <si>
    <t xml:space="preserve">46.5%</t>
  </si>
  <si>
    <t xml:space="preserve">9.84%</t>
  </si>
  <si>
    <t xml:space="preserve">5840%</t>
  </si>
  <si>
    <t xml:space="preserve">61.1%</t>
  </si>
  <si>
    <t xml:space="preserve">98.47%</t>
  </si>
  <si>
    <t xml:space="preserve">8760%</t>
  </si>
  <si>
    <t xml:space="preserve">76.2%</t>
  </si>
  <si>
    <t xml:space="preserve">79.6%</t>
  </si>
  <si>
    <t xml:space="preserve">14600%</t>
  </si>
  <si>
    <t xml:space="preserve">94.8%</t>
  </si>
  <si>
    <t xml:space="preserve">96.2%</t>
  </si>
  <si>
    <t xml:space="preserve">29200%</t>
  </si>
  <si>
    <t xml:space="preserve">98.9%</t>
  </si>
  <si>
    <t xml:space="preserve">43800%</t>
  </si>
  <si>
    <t xml:space="preserve">99.8%</t>
  </si>
  <si>
    <t xml:space="preserve">99.9%</t>
  </si>
  <si>
    <t xml:space="preserve">58400%</t>
  </si>
  <si>
    <t xml:space="preserve">HEAD-TO-HEAD: Sniper @ 10% vs Sharpshooter @ 5% vs Filtered Edge @ 1%</t>
  </si>
  <si>
    <t xml:space="preserve">Metric</t>
  </si>
  <si>
    <t xml:space="preserve">Sniper
@ 10%/trade</t>
  </si>
  <si>
    <t xml:space="preserve">Sharpshooter
@ 5%/trade</t>
  </si>
  <si>
    <t xml:space="preserve">Filtered Edge
@ 1%/trade</t>
  </si>
  <si>
    <t xml:space="preserve">Strategy A
@ 2%/trade</t>
  </si>
  <si>
    <t xml:space="preserve">Baseline
@ 0.5%/trade</t>
  </si>
  <si>
    <t xml:space="preserve">Risk per trade</t>
  </si>
  <si>
    <t xml:space="preserve">Win rate</t>
  </si>
  <si>
    <t xml:space="preserve">R/trade</t>
  </si>
  <si>
    <t xml:space="preserve">Trades/day</t>
  </si>
  <si>
    <t xml:space="preserve">R/day</t>
  </si>
  <si>
    <t xml:space="preserve">Annual return (simple)</t>
  </si>
  <si>
    <t xml:space="preserve">$ return on $100K</t>
  </si>
  <si>
    <t xml:space="preserve">$8,930,000</t>
  </si>
  <si>
    <t xml:space="preserve">$5,905,000</t>
  </si>
  <si>
    <t xml:space="preserve">$2,611,000</t>
  </si>
  <si>
    <t xml:space="preserve">$2,218,000</t>
  </si>
  <si>
    <t xml:space="preserve">$1,460,000</t>
  </si>
  <si>
    <t xml:space="preserve">Expected max losing streak</t>
  </si>
  <si>
    <t xml:space="preserve">4 losses</t>
  </si>
  <si>
    <t xml:space="preserve">5 losses</t>
  </si>
  <si>
    <t xml:space="preserve">10 losses</t>
  </si>
  <si>
    <t xml:space="preserve">12 losses</t>
  </si>
  <si>
    <t xml:space="preserve">28 losses</t>
  </si>
  <si>
    <t xml:space="preserve">95th percentile streak</t>
  </si>
  <si>
    <t xml:space="preserve">6 losses</t>
  </si>
  <si>
    <t xml:space="preserve">8 losses</t>
  </si>
  <si>
    <t xml:space="preserve">13 losses</t>
  </si>
  <si>
    <t xml:space="preserve">15 losses</t>
  </si>
  <si>
    <t xml:space="preserve">31 losses</t>
  </si>
  <si>
    <t xml:space="preserve">Expected max drawdown</t>
  </si>
  <si>
    <t xml:space="preserve">95th percentile drawdown</t>
  </si>
  <si>
    <t xml:space="preserve">Losses to hit 50% DD</t>
  </si>
  <si>
    <t xml:space="preserve">7 losses</t>
  </si>
  <si>
    <t xml:space="preserve">14 losses</t>
  </si>
  <si>
    <t xml:space="preserve">69 losses</t>
  </si>
  <si>
    <t xml:space="preserve">34 losses</t>
  </si>
  <si>
    <t xml:space="preserve">138 losses</t>
  </si>
  <si>
    <t xml:space="preserve">P(50% DD in 1 year)</t>
  </si>
  <si>
    <t xml:space="preserve">Recovery time (95th DD)</t>
  </si>
  <si>
    <t xml:space="preserve">2.6 days</t>
  </si>
  <si>
    <t xml:space="preserve">2.2 days</t>
  </si>
  <si>
    <t xml:space="preserve">1.4 days</t>
  </si>
  <si>
    <t xml:space="preserve">4.1 days</t>
  </si>
  <si>
    <t xml:space="preserve">3.0 days</t>
  </si>
  <si>
    <t xml:space="preserve">THE TAKEAWAY</t>
  </si>
  <si>
    <t xml:space="preserve">Sniper at 10%/trade: Generates ~8,927% annual return on paper, but faces a 95th percentile drawdown of ~47%. That means roughly once a year you should expect to lose nearly half your account before recovering. With 80% WR, the max losing streak is only 4-6 trades, but at 10% per trade that adds up fast. Probability of hitting 50% DD in a year: ~1.4%. Low but not zero.</t>
  </si>
  <si>
    <t xml:space="preserve">Sharpshooter at 5%/trade: ~5,906% annual return with ~34% worst-case DD. More balanced — you still compound aggressively but max streak is 5-8 losses. At 5% per loss, 8 consecutive losses = 34% DD. Recovery takes ~2 days. Probability of 50% DD: ~0.28%. Very unlikely.</t>
  </si>
  <si>
    <t xml:space="preserve">Filtered Edge at 1%/trade: ~2,611% annual return with only ~12% worst-case DD. The safest path because even with 10-13 consecutive losses (which WILL happen at 54% WR), you only lose 12% of capital. Recovery: ~1.4 days. Probability of 50% DD: effectively 0%. This portfolio cannot bust at 1% sizing.</t>
  </si>
  <si>
    <t xml:space="preserve">OPTIMAL SIZING RECOMMENDATIONS</t>
  </si>
  <si>
    <t xml:space="preserve">Based on keeping 95th percentile drawdown below 25% (conservative) or 40% (aggressive). These are the maximum risk levels that stay within those bounds.</t>
  </si>
  <si>
    <t xml:space="preserve">Max Risk
(Conservative)
DD &lt; 25%</t>
  </si>
  <si>
    <t xml:space="preserve">Annual Return
(Conservative)</t>
  </si>
  <si>
    <t xml:space="preserve">Max Risk
(Aggressive)
DD &lt; 40%</t>
  </si>
  <si>
    <t xml:space="preserve">Annual Return
(Aggressive)</t>
  </si>
  <si>
    <t xml:space="preserve">Max Risk
(YOLO)
DD &lt; 60%</t>
  </si>
  <si>
    <t xml:space="preserve">Annual Return
(YOLO)</t>
  </si>
  <si>
    <t xml:space="preserve">4.7%</t>
  </si>
  <si>
    <t xml:space="preserve">4181%</t>
  </si>
  <si>
    <t xml:space="preserve">8.2%</t>
  </si>
  <si>
    <t xml:space="preserve">7288%</t>
  </si>
  <si>
    <t xml:space="preserve">14.2%</t>
  </si>
  <si>
    <t xml:space="preserve">12647%</t>
  </si>
  <si>
    <t xml:space="preserve">3.5%</t>
  </si>
  <si>
    <t xml:space="preserve">4171%</t>
  </si>
  <si>
    <t xml:space="preserve">6.2%</t>
  </si>
  <si>
    <t xml:space="preserve">7305%</t>
  </si>
  <si>
    <t xml:space="preserve">10.8%</t>
  </si>
  <si>
    <t xml:space="preserve">12781%</t>
  </si>
  <si>
    <t xml:space="preserve">2.2%</t>
  </si>
  <si>
    <t xml:space="preserve">5715%</t>
  </si>
  <si>
    <t xml:space="preserve">10061%</t>
  </si>
  <si>
    <t xml:space="preserve">6.8%</t>
  </si>
  <si>
    <t xml:space="preserve">17770%</t>
  </si>
  <si>
    <t xml:space="preserve">1.9%</t>
  </si>
  <si>
    <t xml:space="preserve">2107%</t>
  </si>
  <si>
    <t xml:space="preserve">3.3%</t>
  </si>
  <si>
    <t xml:space="preserve">3713%</t>
  </si>
  <si>
    <t xml:space="preserve">6572%</t>
  </si>
  <si>
    <t xml:space="preserve">0.9%</t>
  </si>
  <si>
    <t xml:space="preserve">2697%</t>
  </si>
  <si>
    <t xml:space="preserve">4772%</t>
  </si>
  <si>
    <t xml:space="preserve">2.9%</t>
  </si>
  <si>
    <t xml:space="preserve">8505%</t>
  </si>
  <si>
    <t xml:space="preserve">DOLLAR SCENARIOS — $100,000 Starting Account</t>
  </si>
  <si>
    <t xml:space="preserve">What does each portfolio actually produce in dollars? Risk $ = risk% × account balance. These are SIMPLE (non-compounded) projections.</t>
  </si>
  <si>
    <t xml:space="preserve">Sizing</t>
  </si>
  <si>
    <t xml:space="preserve">Risk $
/trade</t>
  </si>
  <si>
    <t xml:space="preserve">$ Profit
/Year</t>
  </si>
  <si>
    <t xml:space="preserve">$ Profit
/Month</t>
  </si>
  <si>
    <t xml:space="preserve">$ Profit
/Week</t>
  </si>
  <si>
    <t xml:space="preserve">95th DD $</t>
  </si>
  <si>
    <t xml:space="preserve">Max Acct
Low Point</t>
  </si>
  <si>
    <t xml:space="preserve">5%</t>
  </si>
  <si>
    <t xml:space="preserve">$5,000</t>
  </si>
  <si>
    <t xml:space="preserve">$4,465,000</t>
  </si>
  <si>
    <t xml:space="preserve">$372,083</t>
  </si>
  <si>
    <t xml:space="preserve">$85,865</t>
  </si>
  <si>
    <t xml:space="preserve">$26,500</t>
  </si>
  <si>
    <t xml:space="preserve">$73,500</t>
  </si>
  <si>
    <t xml:space="preserve">10%</t>
  </si>
  <si>
    <t xml:space="preserve">$10,000</t>
  </si>
  <si>
    <t xml:space="preserve">$744,167</t>
  </si>
  <si>
    <t xml:space="preserve">$171,731</t>
  </si>
  <si>
    <t xml:space="preserve">$46,900</t>
  </si>
  <si>
    <t xml:space="preserve">$53,100</t>
  </si>
  <si>
    <t xml:space="preserve">3%</t>
  </si>
  <si>
    <t xml:space="preserve">$3,000</t>
  </si>
  <si>
    <t xml:space="preserve">$3,543,000</t>
  </si>
  <si>
    <t xml:space="preserve">$295,250</t>
  </si>
  <si>
    <t xml:space="preserve">$68,135</t>
  </si>
  <si>
    <t xml:space="preserve">$21,600</t>
  </si>
  <si>
    <t xml:space="preserve">$78,400</t>
  </si>
  <si>
    <t xml:space="preserve">$492,083</t>
  </si>
  <si>
    <t xml:space="preserve">$113,558</t>
  </si>
  <si>
    <t xml:space="preserve">$33,700</t>
  </si>
  <si>
    <t xml:space="preserve">$66,300</t>
  </si>
  <si>
    <t xml:space="preserve">1%</t>
  </si>
  <si>
    <t xml:space="preserve">$1,000</t>
  </si>
  <si>
    <t xml:space="preserve">$217,583</t>
  </si>
  <si>
    <t xml:space="preserve">$50,212</t>
  </si>
  <si>
    <t xml:space="preserve">$12,200</t>
  </si>
  <si>
    <t xml:space="preserve">$87,800</t>
  </si>
  <si>
    <t xml:space="preserve">2%</t>
  </si>
  <si>
    <t xml:space="preserve">$2,000</t>
  </si>
  <si>
    <t xml:space="preserve">$5,222,000</t>
  </si>
  <si>
    <t xml:space="preserve">$435,167</t>
  </si>
  <si>
    <t xml:space="preserve">$100,423</t>
  </si>
  <si>
    <t xml:space="preserve">$23,100</t>
  </si>
  <si>
    <t xml:space="preserve">$76,900</t>
  </si>
  <si>
    <t xml:space="preserve">$7,833,000</t>
  </si>
  <si>
    <t xml:space="preserve">$652,750</t>
  </si>
  <si>
    <t xml:space="preserve">$150,635</t>
  </si>
  <si>
    <t xml:space="preserve">$32,700</t>
  </si>
  <si>
    <t xml:space="preserve">$67,300</t>
  </si>
  <si>
    <t xml:space="preserve">$184,833</t>
  </si>
  <si>
    <t xml:space="preserve">$42,654</t>
  </si>
  <si>
    <t xml:space="preserve">$26,100</t>
  </si>
  <si>
    <t xml:space="preserve">$73,900</t>
  </si>
  <si>
    <t xml:space="preserve">LOSING STREAK PROBABILITY MATRIX — Will It Happen This Year?</t>
  </si>
  <si>
    <t xml:space="preserve">Probability of seeing exactly k or more consecutive losses at least once in a year of trading. Red = virtually certain. Green = very unlikely.</t>
  </si>
  <si>
    <t xml:space="preserve">WR</t>
  </si>
  <si>
    <t xml:space="preserve">2+
losses</t>
  </si>
  <si>
    <t xml:space="preserve">3+
losses</t>
  </si>
  <si>
    <t xml:space="preserve">4+
losses</t>
  </si>
  <si>
    <t xml:space="preserve">5+
losses</t>
  </si>
  <si>
    <t xml:space="preserve">6+
losses</t>
  </si>
  <si>
    <t xml:space="preserve">8+
losses</t>
  </si>
  <si>
    <t xml:space="preserve">10+
losses</t>
  </si>
  <si>
    <t xml:space="preserve">15+
losses</t>
  </si>
  <si>
    <t xml:space="preserve">83.5%</t>
  </si>
  <si>
    <t xml:space="preserve">30.0%</t>
  </si>
  <si>
    <t xml:space="preserve">90.3%</t>
  </si>
  <si>
    <t xml:space="preserve">16.6%</t>
  </si>
  <si>
    <t xml:space="preserve">HOW TO READ THIS: For Sniper (80% WR), there is a 30% chance of 4+ consecutive losses in a year and only 1.4% chance of 6+. For Baseline (26.5% WR), 15+ consecutive losses is GUARANTEED. This is why you cannot size Baseline aggressively — the streaks will destroy you.</t>
  </si>
  <si>
    <t xml:space="preserve">WHY WIN RATE MATTERS MORE THAN R/TRADE FOR POSITION SIZING</t>
  </si>
  <si>
    <t xml:space="preserve">R/trade determines how much you make per unit of risk. Win rate determines how much risk you can TAKE. A strategy with 3x higher R/trade but half the WR cannot be sized nearly as aggressively, because the losing streaks are longer and the drawdowns are deeper.</t>
  </si>
  <si>
    <t xml:space="preserve">Comparison</t>
  </si>
  <si>
    <t xml:space="preserve">Portfolio A</t>
  </si>
  <si>
    <t xml:space="preserve">Portfolio B</t>
  </si>
  <si>
    <t xml:space="preserve">A: WR</t>
  </si>
  <si>
    <t xml:space="preserve">B: WR</t>
  </si>
  <si>
    <t xml:space="preserve">A: Max Risk
(25% DD cap)</t>
  </si>
  <si>
    <t xml:space="preserve">B: Max Risk
(25% DD cap)</t>
  </si>
  <si>
    <t xml:space="preserve">A: R/Year
@ Max Risk</t>
  </si>
  <si>
    <t xml:space="preserve">B: R/Year
@ Max Risk</t>
  </si>
  <si>
    <t xml:space="preserve">Winner</t>
  </si>
  <si>
    <t xml:space="preserve">Higher WR vs Higher R</t>
  </si>
  <si>
    <t xml:space="preserve">80%</t>
  </si>
  <si>
    <t xml:space="preserve">54%</t>
  </si>
  <si>
    <t xml:space="preserve">Slight WR advantage</t>
  </si>
  <si>
    <t xml:space="preserve">Much higher WR</t>
  </si>
  <si>
    <t xml:space="preserve">26%</t>
  </si>
  <si>
    <t xml:space="preserve">BOTTOM LINE: At equal drawdown tolerance, Sniper at aggressive sizing produces comparable or better risk-adjusted returns to Filtered Edge at conservative sizing. But Filtered Edge at conservative sizing has a MUCH smoother equity curve because it trades 6x more often. The overlay approach (Filtered Edge base + Sniper 2x sizing) captures both advantages.</t>
  </si>
  <si>
    <t xml:space="preserve">V9f PRODUCTION TIER PORTFOLIOS (Feb 18, 2026)</t>
  </si>
  <si>
    <t xml:space="preserve">Max DD</t>
  </si>
  <si>
    <t xml:space="preserve">$/Yr @1%/$100K</t>
  </si>
  <si>
    <t xml:space="preserve">V9f Tier 1 (Elite)</t>
  </si>
  <si>
    <t xml:space="preserve">82.4%</t>
  </si>
  <si>
    <t xml:space="preserve">17.6%</t>
  </si>
  <si>
    <t xml:space="preserve">+5.23</t>
  </si>
  <si>
    <t xml:space="preserve">564R</t>
  </si>
  <si>
    <t xml:space="preserve">+2.27</t>
  </si>
  <si>
    <t xml:space="preserve">-3.9R</t>
  </si>
  <si>
    <t xml:space="preserve">$456K</t>
  </si>
  <si>
    <t xml:space="preserve">V9f Tier 1+2 (Recommended)</t>
  </si>
  <si>
    <t xml:space="preserve">70.0%</t>
  </si>
  <si>
    <t xml:space="preserve">+4.36</t>
  </si>
  <si>
    <t xml:space="preserve">1,266R</t>
  </si>
  <si>
    <t xml:space="preserve">+5.08</t>
  </si>
  <si>
    <t xml:space="preserve">-5.4R</t>
  </si>
  <si>
    <t xml:space="preserve">$1.02M</t>
  </si>
  <si>
    <t xml:space="preserve">V9f All Tiers</t>
  </si>
  <si>
    <t xml:space="preserve">51.7%</t>
  </si>
  <si>
    <t xml:space="preserve">48.3%</t>
  </si>
  <si>
    <t xml:space="preserve">+2.76</t>
  </si>
  <si>
    <t xml:space="preserve">2,026R</t>
  </si>
  <si>
    <t xml:space="preserve">+8.14</t>
  </si>
  <si>
    <t xml:space="preserve">-13.1R</t>
  </si>
  <si>
    <t xml:space="preserve">$1.64M</t>
  </si>
  <si>
    <t xml:space="preserve">V9f Tier 1A (Zone)</t>
  </si>
  <si>
    <t xml:space="preserve">87.1%</t>
  </si>
  <si>
    <t xml:space="preserve">12.9%</t>
  </si>
  <si>
    <t xml:space="preserve">+5.60</t>
  </si>
  <si>
    <t xml:space="preserve">174R</t>
  </si>
  <si>
    <t xml:space="preserve">+0.70</t>
  </si>
  <si>
    <t xml:space="preserve">-1.4R</t>
  </si>
  <si>
    <t xml:space="preserve">$139K</t>
  </si>
  <si>
    <t xml:space="preserve">V9c Elite (V8g≥5+zone)</t>
  </si>
  <si>
    <t xml:space="preserve">12.1%</t>
  </si>
  <si>
    <t xml:space="preserve">+6.56</t>
  </si>
  <si>
    <t xml:space="preserve">216R</t>
  </si>
  <si>
    <t xml:space="preserve">+0.87</t>
  </si>
  <si>
    <t xml:space="preserve">$173K</t>
  </si>
  <si>
    <t xml:space="preserve">Monthly WR: 100% (13/13 months). Weekly WR: 95.9% (47/49). Worst week: -1.4R. All walk-forward validated + Monte Carlo tested.</t>
  </si>
  <si>
    <t xml:space="preserve">EXECUTION STRESS TEST — V9f Tier 1+2 Survives ALL Scenarios</t>
  </si>
  <si>
    <t xml:space="preserve">Scenario</t>
  </si>
  <si>
    <t xml:space="preserve">P5 Calmar</t>
  </si>
  <si>
    <t xml:space="preserve">Avg Total R</t>
  </si>
  <si>
    <t xml:space="preserve">+1,401R</t>
  </si>
  <si>
    <t xml:space="preserve">PASS</t>
  </si>
  <si>
    <t xml:space="preserve">+3pt extra slippage</t>
  </si>
  <si>
    <t xml:space="preserve">+1,099R</t>
  </si>
  <si>
    <t xml:space="preserve">50% missed signals</t>
  </si>
  <si>
    <t xml:space="preserve">+704R</t>
  </si>
  <si>
    <t xml:space="preserve">WORST (1pt+20%miss+80%win)</t>
  </si>
  <si>
    <t xml:space="preserve">+791R</t>
  </si>
  <si>
    <t xml:space="preserve">EXTREME (2pt+30%miss+70%win)</t>
  </si>
  <si>
    <t xml:space="preserve">+528R</t>
  </si>
  <si>
    <t xml:space="preserve">SIGNAL PIPELINE</t>
  </si>
  <si>
    <t xml:space="preserve">Newly identified signal classes from February 2026 research, ranked by expected impact and implementation readiness.</t>
  </si>
  <si>
    <t xml:space="preserve">SIGNAL CLASS SCORING — Ranked by Priority</t>
  </si>
  <si>
    <t xml:space="preserve">Signal Class</t>
  </si>
  <si>
    <t xml:space="preserve">Expected
R/Day</t>
  </si>
  <si>
    <t xml:space="preserve">Evidence
Strength</t>
  </si>
  <si>
    <t xml:space="preserve">Implementation
Effort</t>
  </si>
  <si>
    <t xml:space="preserve">DD Impact</t>
  </si>
  <si>
    <t xml:space="preserve">Calmar
Impact</t>
  </si>
  <si>
    <t xml:space="preserve">Phase</t>
  </si>
  <si>
    <t xml:space="preserve">FVG Bifurcation (passive vs momentum)</t>
  </si>
  <si>
    <t xml:space="preserve">+2 to +4R</t>
  </si>
  <si>
    <t xml:space="preserve">STRONG</t>
  </si>
  <si>
    <t xml:space="preserve">HIGH</t>
  </si>
  <si>
    <t xml:space="preserve">-5R</t>
  </si>
  <si>
    <t xml:space="preserve">+25%</t>
  </si>
  <si>
    <t xml:space="preserve">Research complete</t>
  </si>
  <si>
    <t xml:space="preserve">Phase 1 (this week)</t>
  </si>
  <si>
    <t xml:space="preserve">V7aa, V7r, V7z-fix</t>
  </si>
  <si>
    <t xml:space="preserve">Inverse/Hedge Regime</t>
  </si>
  <si>
    <t xml:space="preserve">+0.5 to +1.5R</t>
  </si>
  <si>
    <t xml:space="preserve">MEDIUM</t>
  </si>
  <si>
    <t xml:space="preserve">-13R</t>
  </si>
  <si>
    <t xml:space="preserve">+30%</t>
  </si>
  <si>
    <t xml:space="preserve">Walk-forward validated</t>
  </si>
  <si>
    <t xml:space="preserve">Phase 2 (next week)</t>
  </si>
  <si>
    <t xml:space="preserve">V7k, V7l, V7m</t>
  </si>
  <si>
    <t xml:space="preserve">Composite GOLD Entries</t>
  </si>
  <si>
    <t xml:space="preserve">+1 to +3R</t>
  </si>
  <si>
    <t xml:space="preserve">-3R</t>
  </si>
  <si>
    <t xml:space="preserve">+15%</t>
  </si>
  <si>
    <t xml:space="preserve">Phase 3 (week 3)</t>
  </si>
  <si>
    <t xml:space="preserve">V7r, V7t, V7d</t>
  </si>
  <si>
    <t xml:space="preserve">Large Wick Follow</t>
  </si>
  <si>
    <t xml:space="preserve">+0.5 to +2R</t>
  </si>
  <si>
    <t xml:space="preserve">MODERATE</t>
  </si>
  <si>
    <t xml:space="preserve">LOW</t>
  </si>
  <si>
    <t xml:space="preserve">+3R (new DD)</t>
  </si>
  <si>
    <t xml:space="preserve">+5%</t>
  </si>
  <si>
    <t xml:space="preserve">Phase 4 (week 4)</t>
  </si>
  <si>
    <t xml:space="preserve">V7z-fix</t>
  </si>
  <si>
    <t xml:space="preserve">Stop Limit Breakout</t>
  </si>
  <si>
    <t xml:space="preserve">+0.5 to +1R</t>
  </si>
  <si>
    <t xml:space="preserve">MIXED</t>
  </si>
  <si>
    <t xml:space="preserve">+2R</t>
  </si>
  <si>
    <t xml:space="preserve">+3%</t>
  </si>
  <si>
    <t xml:space="preserve">Needs filtering</t>
  </si>
  <si>
    <t xml:space="preserve">Phase 4</t>
  </si>
  <si>
    <t xml:space="preserve">V7r, V7s</t>
  </si>
  <si>
    <t xml:space="preserve">Sweep Close Market Order</t>
  </si>
  <si>
    <t xml:space="preserve">+0.3 to +0.8R</t>
  </si>
  <si>
    <t xml:space="preserve">+1%</t>
  </si>
  <si>
    <t xml:space="preserve">V7z</t>
  </si>
  <si>
    <t xml:space="preserve">Pattern-Discovery Mining</t>
  </si>
  <si>
    <t xml:space="preserve">Unknown</t>
  </si>
  <si>
    <t xml:space="preserve">HIGH potential</t>
  </si>
  <si>
    <t xml:space="preserve">Needs VPS run</t>
  </si>
  <si>
    <t xml:space="preserve">Ongoing</t>
  </si>
  <si>
    <t xml:space="preserve">COMBINED ESTIMATE</t>
  </si>
  <si>
    <t xml:space="preserve">+5.3R/day</t>
  </si>
  <si>
    <t xml:space="preserve">-14R</t>
  </si>
  <si>
    <t xml:space="preserve">+79%</t>
  </si>
  <si>
    <t xml:space="preserve">Projected total with new classes: ~16.6R/day (up from 11.31), MaxDD ~33R (down from 47), Calmar ~0.83 (up from 0.47).</t>
  </si>
  <si>
    <t xml:space="preserve">SIGNAL CLASS DETAILS</t>
  </si>
  <si>
    <t xml:space="preserve">1. FVG BIFURCATION — Split passive fills from momentum entries</t>
  </si>
  <si>
    <t xml:space="preserve">Currently all FVG entries are treated the same. But V7aa proved indecision candles at FVG entry (doji: +2.46R, hanging man: +2.16R) massively outperform momentum candles (marubozu: -0.21R). Split into PASSIVE_FVG (limit order, wait for fill) and MOMENTUM_FVG (market order after 15S confirmation). PASSIVE = ~12-15 trades/day, 31-34% WR. MOMENTUM = ~3-5 trades/day, 33-39% WR with gates.</t>
  </si>
  <si>
    <t xml:space="preserve">Entry Type</t>
  </si>
  <si>
    <t xml:space="preserve">Candle Pattern</t>
  </si>
  <si>
    <t xml:space="preserve">Avg R</t>
  </si>
  <si>
    <t xml:space="preserve">Action</t>
  </si>
  <si>
    <t xml:space="preserve">PASSIVE</t>
  </si>
  <si>
    <t xml:space="preserve">Doji at FVG entry</t>
  </si>
  <si>
    <t xml:space="preserve">+2.46</t>
  </si>
  <si>
    <t xml:space="preserve">44.2%</t>
  </si>
  <si>
    <t xml:space="preserve">TRADE — best passive pattern</t>
  </si>
  <si>
    <t xml:space="preserve">Hanging man at entry</t>
  </si>
  <si>
    <t xml:space="preserve">+2.16</t>
  </si>
  <si>
    <t xml:space="preserve">41.1%</t>
  </si>
  <si>
    <t xml:space="preserve">TRADE — strong passive</t>
  </si>
  <si>
    <t xml:space="preserve">Inverted hammer at entry</t>
  </si>
  <si>
    <t xml:space="preserve">+1.81</t>
  </si>
  <si>
    <t xml:space="preserve">TRADE — good passive</t>
  </si>
  <si>
    <t xml:space="preserve">MOMENTUM</t>
  </si>
  <si>
    <t xml:space="preserve">Marubozu bull at entry</t>
  </si>
  <si>
    <t xml:space="preserve">-0.21</t>
  </si>
  <si>
    <t xml:space="preserve">DO NOT TRADE — momentum alone loses</t>
  </si>
  <si>
    <t xml:space="preserve">BOS + strong 15S confirm</t>
  </si>
  <si>
    <t xml:space="preserve">+1.82</t>
  </si>
  <si>
    <t xml:space="preserve">39.1%</t>
  </si>
  <si>
    <t xml:space="preserve">87</t>
  </si>
  <si>
    <t xml:space="preserve">TRADE — only with 15S gate</t>
  </si>
  <si>
    <t xml:space="preserve">BOS + low vol 15S</t>
  </si>
  <si>
    <t xml:space="preserve">+0.66</t>
  </si>
  <si>
    <t xml:space="preserve">34.1%</t>
  </si>
  <si>
    <t xml:space="preserve">TRADE — neutral entry works</t>
  </si>
  <si>
    <t xml:space="preserve">2. INVERSE/HEDGE — Take opposite trade during losing streaks</t>
  </si>
  <si>
    <t xml:space="preserve">After consecutive losses on a signal, take the OPPOSITE trade as a hedge. This is additive — keeps all original trades AND adds inverse trades. Walk-forward validated. Best config: VA+sweep regime switch (streak=3, exit after 2 wins). System goes from +11.31R/day to +11.42R/day, but the real value is MaxDD dropping from 47R to 34R (-28% drawdown reduction).</t>
  </si>
  <si>
    <t xml:space="preserve">Inverse WR
(at streak ≥5)</t>
  </si>
  <si>
    <t xml:space="preserve">Activation
Threshold</t>
  </si>
  <si>
    <t xml:space="preserve">Exit Rule</t>
  </si>
  <si>
    <t xml:space="preserve">Best Finding</t>
  </si>
  <si>
    <t xml:space="preserve">71.9%</t>
  </si>
  <si>
    <t xml:space="preserve">INVERT after streaks</t>
  </si>
  <si>
    <t xml:space="preserve">3 consecutive losses</t>
  </si>
  <si>
    <t xml:space="preserve">2 consecutive wins</t>
  </si>
  <si>
    <t xml:space="preserve">Best inverse candidate</t>
  </si>
  <si>
    <t xml:space="preserve">~60%</t>
  </si>
  <si>
    <t xml:space="preserve">Moderate inverse</t>
  </si>
  <si>
    <t xml:space="preserve">32-36%</t>
  </si>
  <si>
    <t xml:space="preserve">NEVER INVERT</t>
  </si>
  <si>
    <t xml:space="preserve">N/A</t>
  </si>
  <si>
    <t xml:space="preserve">Backbone — do not touch</t>
  </si>
  <si>
    <t xml:space="preserve">Key conditional combos: sweep×sbam×frozen = 87.5% inverse WR (small n). VA×overnight×consec3 = 79.2%. 11 of 17 conditions passed walk-forward (60/40 split, rolling 3-window, monthly consistency).</t>
  </si>
  <si>
    <t xml:space="preserve">3. COMPOSITE GOLD — Multi-condition alignment for max-size trades</t>
  </si>
  <si>
    <t xml:space="preserve">Require 2-3 conditions to align before entering. Creates a tiered entry system: STANDARD (1R), SILVER (1R high conviction), GOLD (1.5R max conviction). The "AND" gating is critical — single gates add noise, combined gates add edge. BOS + strong 15S confirm = 39.1% WR, +1.82 avg R (n=87). gate_5m_good_AND_no_contra = best practical gate.</t>
  </si>
  <si>
    <t xml:space="preserve">Tier</t>
  </si>
  <si>
    <t xml:space="preserve">Conditions Required</t>
  </si>
  <si>
    <t xml:space="preserve">STANDARD</t>
  </si>
  <si>
    <t xml:space="preserve">0-1 conditions met</t>
  </si>
  <si>
    <t xml:space="preserve">1R</t>
  </si>
  <si>
    <t xml:space="preserve">~26-30%</t>
  </si>
  <si>
    <t xml:space="preserve">~0.6</t>
  </si>
  <si>
    <t xml:space="preserve">SILVER</t>
  </si>
  <si>
    <t xml:space="preserve">2-3 conditions met (vol spike + 5M confirm + conf≥3)</t>
  </si>
  <si>
    <t xml:space="preserve">~33-39%</t>
  </si>
  <si>
    <t xml:space="preserve">~1.4</t>
  </si>
  <si>
    <t xml:space="preserve">V7t</t>
  </si>
  <si>
    <t xml:space="preserve">GOLD</t>
  </si>
  <si>
    <t xml:space="preserve">4+ conditions met (all above + session + pattern)</t>
  </si>
  <si>
    <t xml:space="preserve">1.5R</t>
  </si>
  <si>
    <t xml:space="preserve">~40-45%</t>
  </si>
  <si>
    <t xml:space="preserve">~1.8+</t>
  </si>
  <si>
    <t xml:space="preserve">V7r, V7d</t>
  </si>
  <si>
    <t xml:space="preserve">4. LARGE WICK FOLLOW — Follow institutional order flow</t>
  </si>
  <si>
    <t xml:space="preserve">V7z-fix proved: FOLLOW the wick direction (not fade it). Fade is genuinely dead — every config negative. Key: stop MUST scale with wick size (fixed 10pt stop = catastrophe). Best: stop=0.75×wick, 3R target = 48% WR, +0.90 avg R. 1M timeframe optimal. 15S makes it worse. Edge strongest at wait=0 (no delay).</t>
  </si>
  <si>
    <t xml:space="preserve">5-6. STOP LIMIT BREAKOUT &amp; SWEEP CLOSE MARKET ORDER</t>
  </si>
  <si>
    <t xml:space="preserve">Stop Limit: Only works with scanner confluence filtering (raw stop limits are negative per V7s). 5pt offset, 2R target: 48.7% WR, +0.45 avg R, 10,431 trades. Fragile — entire edge is from scanner, not mechanism. Sweep Close Market: Enter at sweep candle close. 57.1% WR on large wicks with 10pt stop + 2R target. Both are incremental — Phase 4 after higher-priority classes are deployed.</t>
  </si>
  <si>
    <t xml:space="preserve">7. PATTERN-DISCOVERY MINING — 6,502 combos to validate</t>
  </si>
  <si>
    <t xml:space="preserve">cross_mining_engine.py is built and ready to run on VPS against real V8a data. 365 two-way combos, 5,757 three-way combos, 380 four-way combos. Top synthetic discovery: Mon + strong_close_bull + confirming = 100% WR (n=5, too small for production). Must walk-forward validate everything — with 6,502 combos, some will look great by random chance.</t>
  </si>
  <si>
    <t xml:space="preserve">COMBINED IMPACT ASSESSMENT</t>
  </si>
  <si>
    <t xml:space="preserve">Current System
(4 signals)</t>
  </si>
  <si>
    <t xml:space="preserve">With Phase 1
(FVG Bifurcation)</t>
  </si>
  <si>
    <t xml:space="preserve">With Phase 1+2
(+ Hedge)</t>
  </si>
  <si>
    <t xml:space="preserve">With All Phases
(conservative)</t>
  </si>
  <si>
    <t xml:space="preserve">+11.31</t>
  </si>
  <si>
    <t xml:space="preserve">+13.3 to +15.3</t>
  </si>
  <si>
    <t xml:space="preserve">+13.8 to +16.8</t>
  </si>
  <si>
    <t xml:space="preserve">~16.6</t>
  </si>
  <si>
    <t xml:space="preserve">MaxDD (R)</t>
  </si>
  <si>
    <t xml:space="preserve">47</t>
  </si>
  <si>
    <t xml:space="preserve">~42 (-5R)</t>
  </si>
  <si>
    <t xml:space="preserve">~34 (-13R)</t>
  </si>
  <si>
    <t xml:space="preserve">~33 (-14R)</t>
  </si>
  <si>
    <t xml:space="preserve">0.47</t>
  </si>
  <si>
    <t xml:space="preserve">~0.59 (+25%)</t>
  </si>
  <si>
    <t xml:space="preserve">~0.61 (+30%)</t>
  </si>
  <si>
    <t xml:space="preserve">~0.83 (+79%)</t>
  </si>
  <si>
    <t xml:space="preserve">Profitable days</t>
  </si>
  <si>
    <t xml:space="preserve">~75%</t>
  </si>
  <si>
    <t xml:space="preserve">~77%</t>
  </si>
  <si>
    <t xml:space="preserve">Worst month</t>
  </si>
  <si>
    <t xml:space="preserve">+4.16R/day</t>
  </si>
  <si>
    <t xml:space="preserve">~+5.5R/day</t>
  </si>
  <si>
    <t xml:space="preserve">~+6R/day</t>
  </si>
  <si>
    <t xml:space="preserve">~+7R/day</t>
  </si>
  <si>
    <t xml:space="preserve">~19.3 (better entries)</t>
  </si>
  <si>
    <t xml:space="preserve">~21 (+hedge trades)</t>
  </si>
  <si>
    <t xml:space="preserve">~24 (+new signals)</t>
  </si>
  <si>
    <t xml:space="preserve">Phase 1 (FVG Bifurcation) is the biggest single improvement — +2 to +4R/day and -5R MaxDD just from classifying entry types. Phase 2 (Inverse Hedge) adds the most drawdown protection — MaxDD drops from 47 to 34. Phases 3-4 are incremental but compound nicely. All estimates are conservative — real results could be higher.</t>
  </si>
  <si>
    <t xml:space="preserve">IMPLEMENTATION TIMELINE</t>
  </si>
  <si>
    <t xml:space="preserve">Week</t>
  </si>
  <si>
    <t xml:space="preserve">Expected Impact</t>
  </si>
  <si>
    <t xml:space="preserve">Effort</t>
  </si>
  <si>
    <t xml:space="preserve">Dependency</t>
  </si>
  <si>
    <t xml:space="preserve">1</t>
  </si>
  <si>
    <t xml:space="preserve">This week</t>
  </si>
  <si>
    <t xml:space="preserve">FVG Bifurcation
(split passive/momentum entries)</t>
  </si>
  <si>
    <t xml:space="preserve">+2-4R/day, -5R MaxDD</t>
  </si>
  <si>
    <t xml:space="preserve">1-2 days</t>
  </si>
  <si>
    <t xml:space="preserve">None</t>
  </si>
  <si>
    <t xml:space="preserve">Ready to build</t>
  </si>
  <si>
    <t xml:space="preserve">2</t>
  </si>
  <si>
    <t xml:space="preserve">Next week</t>
  </si>
  <si>
    <t xml:space="preserve">Inverse/Hedge overlay
(streak-based regime switching)</t>
  </si>
  <si>
    <t xml:space="preserve">+0.5-1.5R/day, -13R MaxDD</t>
  </si>
  <si>
    <t xml:space="preserve">1 day</t>
  </si>
  <si>
    <t xml:space="preserve">None (additive)</t>
  </si>
  <si>
    <t xml:space="preserve">Week 3</t>
  </si>
  <si>
    <t xml:space="preserve">Composite GOLD sizing
(tiered entry conditions)</t>
  </si>
  <si>
    <t xml:space="preserve">+1-3R/day, -3R MaxDD</t>
  </si>
  <si>
    <t xml:space="preserve">Phase 1 (bifurcation)</t>
  </si>
  <si>
    <t xml:space="preserve">Week 4</t>
  </si>
  <si>
    <t xml:space="preserve">Wick Follow + Stop Limit
(new signal populations)</t>
  </si>
  <si>
    <t xml:space="preserve">+1-2R/day</t>
  </si>
  <si>
    <t xml:space="preserve">2 days</t>
  </si>
  <si>
    <t xml:space="preserve">Mining engine results</t>
  </si>
  <si>
    <t xml:space="preserve">Needs VPS data run</t>
  </si>
  <si>
    <t xml:space="preserve">WHAT NEEDS TO HAPPEN NEXT ON VPS</t>
  </si>
  <si>
    <t xml:space="preserve">1. Run new_signal_research.py on real V8a data (currently only ran on synthetic). 2. Run trade_consolidator.py to merge mining results with signal research. 3. Run cross_mining_engine.py --discover for the 6,502 combo pattern discovery. 4. Walk-forward validate top mining discoveries before any go live. All three scripts are built and in the repo — just need real data execution.</t>
  </si>
  <si>
    <t xml:space="preserve">DETAILED RESULTS</t>
  </si>
  <si>
    <t xml:space="preserve">Full results from V7 through V8g studies across 4,991 trades and 258 trading days.</t>
  </si>
  <si>
    <t xml:space="preserve">BASELINE — Full Year Validated (258 days, 4,991 trades)</t>
  </si>
  <si>
    <t xml:space="preserve">Consistency</t>
  </si>
  <si>
    <t xml:space="preserve">Role</t>
  </si>
  <si>
    <t xml:space="preserve">258 days (full year)</t>
  </si>
  <si>
    <t xml:space="preserve">13/13 months +</t>
  </si>
  <si>
    <t xml:space="preserve">BACKBONE</t>
  </si>
  <si>
    <t xml:space="preserve">ACTIVE</t>
  </si>
  <si>
    <t xml:space="preserve">ACTIVE (gated)</t>
  </si>
  <si>
    <t xml:space="preserve">LOW VOL</t>
  </si>
  <si>
    <t xml:space="preserve">TOTAL</t>
  </si>
  <si>
    <t xml:space="preserve">61.6</t>
  </si>
  <si>
    <t xml:space="preserve">CONFIRMED full year</t>
  </si>
  <si>
    <t xml:space="preserve">+11.31R/day, 72% prof</t>
  </si>
  <si>
    <t xml:space="preserve">VALIDATED</t>
  </si>
  <si>
    <t xml:space="preserve">TOP 20 PROVEN EDGES — Sorted by Win Rate</t>
  </si>
  <si>
    <t xml:space="preserve">Finding</t>
  </si>
  <si>
    <t xml:space="preserve">V8g&gt;=5 TF + optimal PD zone</t>
  </si>
  <si>
    <t xml:space="preserve">+6.555</t>
  </si>
  <si>
    <t xml:space="preserve">Full year (walk-forward)</t>
  </si>
  <si>
    <t xml:space="preserve">V9c</t>
  </si>
  <si>
    <t xml:space="preserve">BOS &gt;=3TF confirm + 0 contra</t>
  </si>
  <si>
    <t xml:space="preserve">Full year (312d tick)</t>
  </si>
  <si>
    <t xml:space="preserve">sweep conf&gt;=5 + 5M confirm</t>
  </si>
  <si>
    <t xml:space="preserve">sweep</t>
  </si>
  <si>
    <t xml:space="preserve">Full year (4,991 trades)</t>
  </si>
  <si>
    <t xml:space="preserve">sweep both_pro + 5M confirm</t>
  </si>
  <si>
    <t xml:space="preserve">94 OOS days (WF)</t>
  </si>
  <si>
    <t xml:space="preserve">sweep 3M+5M+15M+1H confirm</t>
  </si>
  <si>
    <t xml:space="preserve">BOS + strong_imbalance</t>
  </si>
  <si>
    <t xml:space="preserve">Unverified — may be partial*</t>
  </si>
  <si>
    <t xml:space="preserve">BOS + strong_sell_delta</t>
  </si>
  <si>
    <t xml:space="preserve">imbalance+strong_delta combo</t>
  </si>
  <si>
    <t xml:space="preserve">Skip 5M contradiction</t>
  </si>
  <si>
    <t xml:space="preserve">strong_close_bear + short</t>
  </si>
  <si>
    <t xml:space="preserve">All</t>
  </si>
  <si>
    <t xml:space="preserve">strong_close_bull + long</t>
  </si>
  <si>
    <t xml:space="preserve">VA wait-for-first-win</t>
  </si>
  <si>
    <t xml:space="preserve">VA overlap + confirming</t>
  </si>
  <si>
    <t xml:space="preserve">sweep + confirming (all sess)</t>
  </si>
  <si>
    <t xml:space="preserve">After extreme vol day</t>
  </si>
  <si>
    <t xml:space="preserve">Combined</t>
  </si>
  <si>
    <t xml:space="preserve">Strategy B (OOS)</t>
  </si>
  <si>
    <t xml:space="preserve">BOS + 1+ footprint trigger</t>
  </si>
  <si>
    <t xml:space="preserve">TOTALS (20 edges)</t>
  </si>
  <si>
    <t xml:space="preserve">12 full year
3 OOS validated
5 unverified period</t>
  </si>
  <si>
    <t xml:space="preserve">V7r→V8g</t>
  </si>
  <si>
    <t xml:space="preserve">* V8b/V8c DATA PERIOD NOTE</t>
  </si>
  <si>
    <t xml:space="preserve">V8b (footprints: delta, imbalance, VP) and V8c (gap/settlement) claim "Full Year (312 days)" in the run log, but computing tick-level footprint features for every trade entry requires processing raw Databento aggressor-side data at each timestamp. It is unverified whether this was done for all 258 trading days or a subset. The V8b findings (imbalance, delta triggers) should be treated as directionally correct but data period needs confirmation on VPS. Findings #8, #9, #10, #17, #20 are affected. All V7 and V8a/V8d-V8g findings use pre-computed backtester features confirmed over the full year.</t>
  </si>
  <si>
    <t xml:space="preserve">STRATEGY OPTIONS — Why High WR ≠ Most R</t>
  </si>
  <si>
    <t xml:space="preserve">WHY THE PORTFOLIO WR IS LOWER THAN THE BEST FILTER</t>
  </si>
  <si>
    <t xml:space="preserve">The 80-85% WR filters are REAL — but they only fire 54-117 trades/year (0.2-0.5/day). That produces 148-597R/year. The portfolio trades 19x/day with a 26.5% trade WR but produces 2,918R/year — 5x more total R. The tradeoff: win rate per trade vs total R generated. The table below shows the math.</t>
  </si>
  <si>
    <t xml:space="preserve">Strategy</t>
  </si>
  <si>
    <t xml:space="preserve">Trade
WR%</t>
  </si>
  <si>
    <t xml:space="preserve">Trades/
Year</t>
  </si>
  <si>
    <t xml:space="preserve">Trades/
Day</t>
  </si>
  <si>
    <t xml:space="preserve">Daily
WR%</t>
  </si>
  <si>
    <t xml:space="preserve">Weekly
WR%</t>
  </si>
  <si>
    <t xml:space="preserve">sweep conf&gt;=5 (V8a)</t>
  </si>
  <si>
    <t xml:space="preserve">16.4%</t>
  </si>
  <si>
    <t xml:space="preserve">59.1%</t>
  </si>
  <si>
    <t xml:space="preserve">BOS &gt;=3TF + 0 contra (V8g)</t>
  </si>
  <si>
    <t xml:space="preserve">30.3%</t>
  </si>
  <si>
    <t xml:space="preserve">83.6%</t>
  </si>
  <si>
    <t xml:space="preserve">BOS &gt;=5TF confirming (V8g)</t>
  </si>
  <si>
    <t xml:space="preserve">34.3%</t>
  </si>
  <si>
    <t xml:space="preserve">sweep &gt;=5TF confirming (V8g)</t>
  </si>
  <si>
    <t xml:space="preserve">46.4%</t>
  </si>
  <si>
    <t xml:space="preserve">93.4%</t>
  </si>
  <si>
    <t xml:space="preserve">THE FILTERED EDGE
(50%+ WR, all signals)</t>
  </si>
  <si>
    <t xml:space="preserve">Strategy A — OOS (V8d)</t>
  </si>
  <si>
    <t xml:space="preserve">~0.86*</t>
  </si>
  <si>
    <t xml:space="preserve">~45%*</t>
  </si>
  <si>
    <t xml:space="preserve">~1,290*</t>
  </si>
  <si>
    <t xml:space="preserve">~5*</t>
  </si>
  <si>
    <t xml:space="preserve">1,112*</t>
  </si>
  <si>
    <t xml:space="preserve">21.4*</t>
  </si>
  <si>
    <t xml:space="preserve">Strategy B — OOS (V8d)</t>
  </si>
  <si>
    <t xml:space="preserve">~0.92*</t>
  </si>
  <si>
    <t xml:space="preserve">~40%*</t>
  </si>
  <si>
    <t xml:space="preserve">~3,096*</t>
  </si>
  <si>
    <t xml:space="preserve">~12*</t>
  </si>
  <si>
    <t xml:space="preserve">2,851*</t>
  </si>
  <si>
    <t xml:space="preserve">54.8*</t>
  </si>
  <si>
    <t xml:space="preserve">V7y Optimized (production)</t>
  </si>
  <si>
    <t xml:space="preserve">+0.46</t>
  </si>
  <si>
    <t xml:space="preserve">~4,200</t>
  </si>
  <si>
    <t xml:space="preserve">~16.3</t>
  </si>
  <si>
    <t xml:space="preserve">2,261</t>
  </si>
  <si>
    <t xml:space="preserve">43.5</t>
  </si>
  <si>
    <t xml:space="preserve">Baseline — no filters (V7f)</t>
  </si>
  <si>
    <t xml:space="preserve">V9f Production (V8g≥4, ≤1 contra)</t>
  </si>
  <si>
    <t xml:space="preserve">1,266</t>
  </si>
  <si>
    <t xml:space="preserve">24.3</t>
  </si>
  <si>
    <t xml:space="preserve">78.7%</t>
  </si>
  <si>
    <t xml:space="preserve">95.9%</t>
  </si>
  <si>
    <t xml:space="preserve">Calmar 235.7. $1M+/yr projected at 1% risk on $100K. See V9f production spec.</t>
  </si>
  <si>
    <t xml:space="preserve">HOW THE STRATEGIES RELATE TO EACH OTHER</t>
  </si>
  <si>
    <t xml:space="preserve">One dataset, different filters:</t>
  </si>
  <si>
    <t xml:space="preserve">We have 4,991 real NQ futures trades from a full year of data. Every strategy above is a FILTER applied to that same pool. The sniper (80% WR, 117 trades) is the strictest filter — it only takes BOS trades where 3+ timeframes confirm and zero contradict. The Filtered Edge (54% WR, 1,642 trades) relaxes the filter to any trade above 50% WR across all signal types. The baseline (26.5% WR, 4,991 trades) uses no filter at all.</t>
  </si>
  <si>
    <t xml:space="preserve">The WR vs volume tradeoff:</t>
  </si>
  <si>
    <t xml:space="preserve">Tighter filters = higher WR per trade but fewer trades. Looser filters = lower WR but more trades and more total R. The sniper makes +597R/year from 117 high-conviction trades. The Filtered Edge makes +2,604R/year from 1,642 moderate-conviction trades. Same underlying data — the filter decides how selective you are.</t>
  </si>
  <si>
    <t xml:space="preserve">Three signal types, one portfolio:</t>
  </si>
  <si>
    <t xml:space="preserve">BOS_FVG (Break of Structure): enters on a limit order when price fills a gap after breaking a key level. This is the backbone — 714R/year unfiltered. sweep_reversal: enters when price sweeps past a key level then reverses — market order entry. 207R/year unfiltered. VA_fade: enters when price reaches the edge of the previous session's value area and bounces back. 89R/year unfiltered. These three fire on different setups, so the trades rarely overlap. Combining them builds a diversified portfolio.</t>
  </si>
  <si>
    <t xml:space="preserve">The sniper is an overlay, not a replacement:</t>
  </si>
  <si>
    <t xml:space="preserve">The recommended deployment: run the Filtered Edge as the base portfolio (~6 trades/day). When a trade ALSO passes the sniper filter (&gt;=3TF + 0 contra), flag it for higher confidence. You get both volume from the base and precision from the sniper. The OOS-validated strategies (A and B) do something similar — they combine multiple filters to balance WR and trade frequency.</t>
  </si>
  <si>
    <t xml:space="preserve">THE FILTERED EDGE BREAKDOWN — 3 Non-Overlapping Signal Legs</t>
  </si>
  <si>
    <t xml:space="preserve">Signal Leg</t>
  </si>
  <si>
    <t xml:space="preserve">3 non-overlapping signal types (BOS, sweep, VA). Each has its own entry trigger. Filters out ~67% of baseline trades, keeps ~89% of the R. The sweet spot between sniper precision and portfolio volume.</t>
  </si>
  <si>
    <t xml:space="preserve">MONTHLY WIN RATE</t>
  </si>
  <si>
    <t xml:space="preserve">Baseline: 13/13 months positive (100%). Worst month: +4.16R/day. Best month: +22.61R/day. Walk-forward: all quarterly splits positive. Strategy A/B OOS: every test month positive across 94 days. Ultra-selective (top 2): too few trades/month to measure.</t>
  </si>
  <si>
    <t xml:space="preserve">Values without * are measured directly from backtest output. Values with * are computed (R/day × 258 days, or R/day ÷ est. trades/day).</t>
  </si>
  <si>
    <t xml:space="preserve">"—" = cannot compute. &lt;1 trade/day means most days have 0 trades, making daily/weekly WR meaningless for that strategy.</t>
  </si>
  <si>
    <t xml:space="preserve">IS = in-sample (model trained on this data). OOS = out-of-sample (model never saw this data). OOS is the real test.</t>
  </si>
  <si>
    <t xml:space="preserve">Strategies are NOT additive — they filter the same base trades. The sniper strategies are subsets of the portfolio trades.</t>
  </si>
  <si>
    <t xml:space="preserve">SNIPER RULESET — 75%+ Win Rate Combinations</t>
  </si>
  <si>
    <t xml:space="preserve">Every tested combination with 75%+ trade-level win rate. These are the highest-probability trades in the system.</t>
  </si>
  <si>
    <t xml:space="preserve">PROVEN SNIPER SETUPS (75%+ WR, Measured)</t>
  </si>
  <si>
    <t xml:space="preserve">V8g&gt;=5 TF + optimal premium/discount zone</t>
  </si>
  <si>
    <t xml:space="preserve">sweep + both_pro + 5M confirm (WF)</t>
  </si>
  <si>
    <t xml:space="preserve">BOS &gt;=3TF confirm + 0 contradict</t>
  </si>
  <si>
    <t xml:space="preserve">sweep + 3M+5M+15M+1H all confirm</t>
  </si>
  <si>
    <t xml:space="preserve">COMBINED SNIPER PORTFOLIO (Non-Overlapping Signals)</t>
  </si>
  <si>
    <t xml:space="preserve">BOS and sweep are different signal types — a BOS sniper trade and a sweep sniper trade almost never fire on the same bar. Combining them creates a sniper portfolio.</t>
  </si>
  <si>
    <t xml:space="preserve">BOS &gt;=3TF + 0 contra</t>
  </si>
  <si>
    <t xml:space="preserve">If C added (no overlap confirmed):</t>
  </si>
  <si>
    <t xml:space="preserve">These combine independently proven filters that have NOT been tested together yet. Each filter works alone — stacking should improve WR further. Run on VPS.</t>
  </si>
  <si>
    <t xml:space="preserve">SNIPER DEPLOYMENT RECOMMENDATION</t>
  </si>
  <si>
    <t xml:space="preserve">Phase 1 — Now:</t>
  </si>
  <si>
    <t xml:space="preserve">Deploy A+B combined sniper portfolio. ~226 trades/year, ~80% WR, ~893R/year (~17R/week). Use 1R flat sizing. This is the highest-confidence production deployment.</t>
  </si>
  <si>
    <t xml:space="preserve">Phase 2 — After P0 stacks validated:</t>
  </si>
  <si>
    <t xml:space="preserve">Phase 3 — Sniper + Portfolio overlay:</t>
  </si>
  <si>
    <t xml:space="preserve">Equity curve management:</t>
  </si>
  <si>
    <t xml:space="preserve">n = exact number of trades measured. Trades/Year = n for full-year studies. R/Year = n × R/Trade.</t>
  </si>
  <si>
    <t xml:space="preserve">Combined portfolio assumes BOS and sweep are non-overlapping signals (different entry triggers). Overlap is minimal but not zero — conservative estimate.</t>
  </si>
  <si>
    <t xml:space="preserve">C (BOS + strong_close) may overlap with A (BOS &gt;=3TF) — some strong_close trades may also pass the TF filter. Needs VPS confirmation.</t>
  </si>
  <si>
    <t xml:space="preserve">Untested stacks use two independently proven filters. Stacking should maintain or improve WR, but n will shrink. Minimum viable n = 30 trades/year.</t>
  </si>
  <si>
    <t xml:space="preserve">V8b findings (imbalance, delta) are flagged as data period unverified. The filter is real but exact annual trade count needs VPS confirmation.</t>
  </si>
  <si>
    <t xml:space="preserve">PRODUCTION OPTIMIZATION — V7r through V7aa (Walk-Forward Validated)</t>
  </si>
  <si>
    <t xml:space="preserve">Sequential research findings applied cumulatively. Each study adds an independent edge. Final V7y config combines all findings into a single validated production ruleset.</t>
  </si>
  <si>
    <t xml:space="preserve">V7y PRODUCTION CONFIG — Before vs After</t>
  </si>
  <si>
    <t xml:space="preserve">Baseline (V7f)</t>
  </si>
  <si>
    <t xml:space="preserve">V7y Optimized</t>
  </si>
  <si>
    <t xml:space="preserve">Change</t>
  </si>
  <si>
    <t xml:space="preserve">Walk-Forward</t>
  </si>
  <si>
    <t xml:space="preserve">Confidence</t>
  </si>
  <si>
    <t xml:space="preserve">-22%</t>
  </si>
  <si>
    <t xml:space="preserve">H1: 2,411 / H2: 2,034</t>
  </si>
  <si>
    <t xml:space="preserve">STABLE</t>
  </si>
  <si>
    <t xml:space="preserve">+7.25</t>
  </si>
  <si>
    <t xml:space="preserve">-36%</t>
  </si>
  <si>
    <t xml:space="preserve">H1: 7.73 / H2: 6.52</t>
  </si>
  <si>
    <t xml:space="preserve">Max Drawdown</t>
  </si>
  <si>
    <t xml:space="preserve">47.4R</t>
  </si>
  <si>
    <t xml:space="preserve">16.4R</t>
  </si>
  <si>
    <t xml:space="preserve">-65%</t>
  </si>
  <si>
    <t xml:space="preserve">H1: 16.4R / H2: 16.0R</t>
  </si>
  <si>
    <t xml:space="preserve">ROCK STABLE</t>
  </si>
  <si>
    <t xml:space="preserve">Calmar Ratio</t>
  </si>
  <si>
    <t xml:space="preserve">137.8</t>
  </si>
  <si>
    <t xml:space="preserve">+124%</t>
  </si>
  <si>
    <t xml:space="preserve">Consistent both halves</t>
  </si>
  <si>
    <t xml:space="preserve">Worst Day</t>
  </si>
  <si>
    <t xml:space="preserve">BOS_FVG R/Trade</t>
  </si>
  <si>
    <t xml:space="preserve">1.037</t>
  </si>
  <si>
    <t xml:space="preserve">1.370</t>
  </si>
  <si>
    <t xml:space="preserve">+32%</t>
  </si>
  <si>
    <t xml:space="preserve">Confirmed OOS</t>
  </si>
  <si>
    <t xml:space="preserve">VA_fade R/Year</t>
  </si>
  <si>
    <t xml:space="preserve">Filters Applied</t>
  </si>
  <si>
    <t xml:space="preserve">1,721 trades filtered</t>
  </si>
  <si>
    <t xml:space="preserve">R/Year decreases because filters remove low-quality trades. The tradeoff: 22% less total R for 65% less drawdown. Calmar (return/risk) more than doubles.</t>
  </si>
  <si>
    <t xml:space="preserve">V7aa — 5M CANDLE PATTERN FILTER (Largest Single Edge)</t>
  </si>
  <si>
    <t xml:space="preserve">Confirming WR%</t>
  </si>
  <si>
    <t xml:space="preserve">Confirming R/Trade</t>
  </si>
  <si>
    <t xml:space="preserve">Contra WR%</t>
  </si>
  <si>
    <t xml:space="preserve">Contra R/Trade</t>
  </si>
  <si>
    <t xml:space="preserve">Calmar Impact</t>
  </si>
  <si>
    <t xml:space="preserve">54.5%</t>
  </si>
  <si>
    <t xml:space="preserve">+1.199</t>
  </si>
  <si>
    <t xml:space="preserve">-0.505</t>
  </si>
  <si>
    <t xml:space="preserve">SKIP contra</t>
  </si>
  <si>
    <t xml:space="preserve">13.2 → 63.2 (4.8×)</t>
  </si>
  <si>
    <t xml:space="preserve">PORTFOLIO</t>
  </si>
  <si>
    <t xml:space="preserve">54.6 → 119.3 (+118%)</t>
  </si>
  <si>
    <t xml:space="preserve">SKIP_CONTRA: Do not enter a trade when the 5-minute candle contradicts trade direction (e.g., bearish candle + long entry). Portfolio MaxDD drops 54.5R → 28.9R (-47%). Single largest Calmar improvement found across all studies.</t>
  </si>
  <si>
    <t xml:space="preserve">V7v — STREAK-BASED POSITION SIZING</t>
  </si>
  <si>
    <t xml:space="preserve">Flat R/Year</t>
  </si>
  <si>
    <t xml:space="preserve">Optimized R/Year</t>
  </si>
  <si>
    <t xml:space="preserve">Improvement</t>
  </si>
  <si>
    <t xml:space="preserve">Best Rule</t>
  </si>
  <si>
    <t xml:space="preserve">Calmar (flat)</t>
  </si>
  <si>
    <t xml:space="preserve">Calmar (opt)</t>
  </si>
  <si>
    <t xml:space="preserve">VA_fade (simple)</t>
  </si>
  <si>
    <t xml:space="preserve">601R</t>
  </si>
  <si>
    <t xml:space="preserve">827R</t>
  </si>
  <si>
    <t xml:space="preserve">+38%</t>
  </si>
  <si>
    <t xml:space="preserve">Pause after 3L</t>
  </si>
  <si>
    <t xml:space="preserve">43.9</t>
  </si>
  <si>
    <t xml:space="preserve">CONFIRMED</t>
  </si>
  <si>
    <t xml:space="preserve">525R</t>
  </si>
  <si>
    <t xml:space="preserve">~560R</t>
  </si>
  <si>
    <t xml:space="preserve">+7%</t>
  </si>
  <si>
    <t xml:space="preserve">13.2</t>
  </si>
  <si>
    <t xml:space="preserve">20.6</t>
  </si>
  <si>
    <t xml:space="preserve">VA_fade exhibits strong streak clustering: after a WIN, subsequent trades have 60%+ WR and 1.6 avg R. After 1 loss, WR drops to 20%. Production rule: scale up after consecutive wins, pause after 3 consecutive losses. BOS_FVG is streak-resistant (mean-reverts after losses).</t>
  </si>
  <si>
    <t xml:space="preserve">V7x — SESSION-SPECIFIC SIGNAL ALLOCATION (Walk-Forward Confirmed)</t>
  </si>
  <si>
    <t xml:space="preserve">overlap, news_window, london_am</t>
  </si>
  <si>
    <t xml:space="preserve">+0.636 to +1.281</t>
  </si>
  <si>
    <t xml:space="preserve">ny_am, power_hour, silver_bullet</t>
  </si>
  <si>
    <t xml:space="preserve">NEGATIVE</t>
  </si>
  <si>
    <t xml:space="preserve">+57R/year</t>
  </si>
  <si>
    <t xml:space="preserve">ny_am, ib_first</t>
  </si>
  <si>
    <t xml:space="preserve">+0.65 to +0.85</t>
  </si>
  <si>
    <t xml:space="preserve">Production rule: Disable VA_fade during ny_am, power_hour, and silver_bullet sessions. These sessions are net negative for VA_fade but positive for BOS_FVG and sweep_reversal. BOS_FVG is the backbone signal — profitable in every session tested.</t>
  </si>
  <si>
    <t xml:space="preserve">V7z — VA_FADE WAIT-FOR-FIRST-WIN RULE</t>
  </si>
  <si>
    <t xml:space="preserve">VA_fade Mode</t>
  </si>
  <si>
    <t xml:space="preserve">Flat (no rule)</t>
  </si>
  <si>
    <t xml:space="preserve">24.4%</t>
  </si>
  <si>
    <t xml:space="preserve">+0.062</t>
  </si>
  <si>
    <t xml:space="preserve">49.6R</t>
  </si>
  <si>
    <t xml:space="preserve">0%</t>
  </si>
  <si>
    <t xml:space="preserve">Wait-for-first-win</t>
  </si>
  <si>
    <t xml:space="preserve">Aggressive after win</t>
  </si>
  <si>
    <t xml:space="preserve">~700R*</t>
  </si>
  <si>
    <t xml:space="preserve">46.2</t>
  </si>
  <si>
    <t xml:space="preserve">25.9R</t>
  </si>
  <si>
    <t xml:space="preserve">Wait-for-first-win: Do not take VA_fade trades on a given day until the first VA_fade trade that day wins. After the first win, trade normally. Thesis: VA_fade streaks cluster — the first win signals the regime is favorable. WR jumps from 24.4% → 50.9%. R/trade increases 3.4× (0.062 → 1.268). *Fewer total trades but dramatically better per-trade returns.</t>
  </si>
  <si>
    <t xml:space="preserve">V7t — BOS_FVG ENTRY GATES (Walk-Forward Validated)</t>
  </si>
  <si>
    <t xml:space="preserve">Gate</t>
  </si>
  <si>
    <t xml:space="preserve">Sharpe</t>
  </si>
  <si>
    <t xml:space="preserve">Filter %</t>
  </si>
  <si>
    <t xml:space="preserve">Production Use</t>
  </si>
  <si>
    <t xml:space="preserve">No gate (baseline)</t>
  </si>
  <si>
    <t xml:space="preserve">31.6%</t>
  </si>
  <si>
    <t xml:space="preserve">+1.038</t>
  </si>
  <si>
    <t xml:space="preserve">0.215</t>
  </si>
  <si>
    <t xml:space="preserve">5M good candle + no contra</t>
  </si>
  <si>
    <t xml:space="preserve">15S strong confirm</t>
  </si>
  <si>
    <t xml:space="preserve">+1.816</t>
  </si>
  <si>
    <t xml:space="preserve">0.282</t>
  </si>
  <si>
    <t xml:space="preserve">ADDITIVE</t>
  </si>
  <si>
    <t xml:space="preserve">Triple (5M+15S+low vol)</t>
  </si>
  <si>
    <t xml:space="preserve">Low volume at 15S entry</t>
  </si>
  <si>
    <t xml:space="preserve">33.0%</t>
  </si>
  <si>
    <t xml:space="preserve">+1.195</t>
  </si>
  <si>
    <t xml:space="preserve">60.7%</t>
  </si>
  <si>
    <t xml:space="preserve">LIGHTEST GATE</t>
  </si>
  <si>
    <t xml:space="preserve">Production BOS_FVG gate: require the 5-minute candle to show a 'good' pattern (not contradicting) AND no 15-second contradiction. Filters 32.9% of BOS_FVG trades, improves R/trade by +32%, Sharpe by +20%. All gates walk-forward confirmed.</t>
  </si>
  <si>
    <t xml:space="preserve">V7z-fix — LARGE WICK SWEEP MECHANICS</t>
  </si>
  <si>
    <t xml:space="preserve">Config</t>
  </si>
  <si>
    <t xml:space="preserve">Trades</t>
  </si>
  <si>
    <t xml:space="preserve">Session Dist.</t>
  </si>
  <si>
    <t xml:space="preserve">FOLLOW (dynamic stop)</t>
  </si>
  <si>
    <t xml:space="preserve">FOLLOW (high WR)</t>
  </si>
  <si>
    <t xml:space="preserve">69.0%</t>
  </si>
  <si>
    <t xml:space="preserve">+0.723</t>
  </si>
  <si>
    <t xml:space="preserve">1.0×wick stop, 1.5R target</t>
  </si>
  <si>
    <t xml:space="preserve">ib_first heaviest (19%)</t>
  </si>
  <si>
    <t xml:space="preserve">PROFITABLE</t>
  </si>
  <si>
    <t xml:space="preserve">FADE (all configs)</t>
  </si>
  <si>
    <t xml:space="preserve">Market order at close (10-15pt)</t>
  </si>
  <si>
    <t xml:space="preserve">57.1%</t>
  </si>
  <si>
    <t xml:space="preserve">+0.710</t>
  </si>
  <si>
    <t xml:space="preserve">10pt stop, 2R target</t>
  </si>
  <si>
    <t xml:space="preserve">When a liquidity sweep creates a large wick (10+ points), FOLLOW the wick direction with a dynamic stop scaled to wick size. Never fade the sweep — the wick IS the rejection. Stop must scale with wick size (fixed stops = catastrophic). Edge is strongest at immediate entry (wait=0). 15-second granularity adds noise, not signal — use 1-minute bars.</t>
  </si>
  <si>
    <t xml:space="preserve">V7r — COMPOSITE GOLD ENTRIES (BOS_FVG + Candle Confirmation)</t>
  </si>
  <si>
    <t xml:space="preserve">Entry Combo</t>
  </si>
  <si>
    <t xml:space="preserve">Evidence</t>
  </si>
  <si>
    <t xml:space="preserve">BOS_FVG + strong_close</t>
  </si>
  <si>
    <t xml:space="preserve">BOS_FVG + shooting_star</t>
  </si>
  <si>
    <t xml:space="preserve">62.7%</t>
  </si>
  <si>
    <t xml:space="preserve">+2.98</t>
  </si>
  <si>
    <t xml:space="preserve">0.554</t>
  </si>
  <si>
    <t xml:space="preserve">51</t>
  </si>
  <si>
    <t xml:space="preserve">BOS_FVG + doji</t>
  </si>
  <si>
    <t xml:space="preserve">55.9%</t>
  </si>
  <si>
    <t xml:space="preserve">+3.06</t>
  </si>
  <si>
    <t xml:space="preserve">0.550</t>
  </si>
  <si>
    <t xml:space="preserve">111</t>
  </si>
  <si>
    <t xml:space="preserve">GOOD (large n)</t>
  </si>
  <si>
    <t xml:space="preserve">BOS_FVG + pin_bar_bear</t>
  </si>
  <si>
    <t xml:space="preserve">60.0%</t>
  </si>
  <si>
    <t xml:space="preserve">0.565</t>
  </si>
  <si>
    <t xml:space="preserve">40</t>
  </si>
  <si>
    <t xml:space="preserve">BOS_FVG combined with specific 5M candle patterns at entry dramatically increases WR. The strong_close combo (83.9% WR) is the single highest BOS_FVG filter found, but only n=31 trades — needs more data for production deployment. Doji combo (n=111) has the strongest statistical support.</t>
  </si>
  <si>
    <t xml:space="preserve">V9 SERIES — PRODUCTION SYSTEM SPECIFICATION (Feb 18, 2026)</t>
  </si>
  <si>
    <t xml:space="preserve">Six studies validating the complete production system for BOS_FVG. All walk-forward confirmed. Go-live ready.</t>
  </si>
  <si>
    <t xml:space="preserve">V9f PRODUCTION CONFIG — Tier Performance Comparison</t>
  </si>
  <si>
    <t xml:space="preserve">Total R</t>
  </si>
  <si>
    <t xml:space="preserve">$/Yr @1% $100K</t>
  </si>
  <si>
    <t xml:space="preserve">Tier 1 Only (Elite)</t>
  </si>
  <si>
    <t xml:space="preserve">+564R</t>
  </si>
  <si>
    <t xml:space="preserve">Tier 1+2 (Recommended)</t>
  </si>
  <si>
    <t xml:space="preserve">+1,266R</t>
  </si>
  <si>
    <t xml:space="preserve">All Tiers (Aggressive)</t>
  </si>
  <si>
    <t xml:space="preserve">+2,026R</t>
  </si>
  <si>
    <t xml:space="preserve">Tier 1: V8g≥5 (5+ TF confirming). Tier 2: V8g=4, ≤1 contradicting. Monthly: 13/13 months profitable. Weekly: 47/49 win weeks (95.9%), worst -1.4R. Daily: 170/216 win days (78.7%), worst -8.1R. Avg win +6.54R, avg loss -1.28R → 5.1:1 payoff.</t>
  </si>
  <si>
    <t xml:space="preserve">V9f PRODUCTION RULES</t>
  </si>
  <si>
    <t xml:space="preserve">Rule</t>
  </si>
  <si>
    <t xml:space="preserve">Let winners run</t>
  </si>
  <si>
    <t xml:space="preserve">No caps, no trailing, no partials</t>
  </si>
  <si>
    <t xml:space="preserve">Unlimited = optimal Calmar (232.8)</t>
  </si>
  <si>
    <t xml:space="preserve">No break-even stops</t>
  </si>
  <si>
    <t xml:space="preserve">Kills edge (confirmed 11×)</t>
  </si>
  <si>
    <t xml:space="preserve">B/E tested every iteration — always worse</t>
  </si>
  <si>
    <t xml:space="preserve">10M TF must confirm</t>
  </si>
  <si>
    <t xml:space="preserve">Calmar 257 with vs 7.4 without</t>
  </si>
  <si>
    <t xml:space="preserve">Single most important confirmation TF</t>
  </si>
  <si>
    <t xml:space="preserve">Keep trading after losses</t>
  </si>
  <si>
    <t xml:space="preserve">100% positive 3-day avg after loss days</t>
  </si>
  <si>
    <t xml:space="preserve">Mean reversion confirmed</t>
  </si>
  <si>
    <t xml:space="preserve">5</t>
  </si>
  <si>
    <t xml:space="preserve">No streak sizing needed</t>
  </si>
  <si>
    <t xml:space="preserve">Zero autocorrelation at V8g≥4</t>
  </si>
  <si>
    <t xml:space="preserve">BOS at Tier 1+2 is streak-independent</t>
  </si>
  <si>
    <t xml:space="preserve">6</t>
  </si>
  <si>
    <t xml:space="preserve">Premium/discount optional</t>
  </si>
  <si>
    <t xml:space="preserve">+10pp WR boost when available</t>
  </si>
  <si>
    <t xml:space="preserve">Longs in discount, shorts in premium</t>
  </si>
  <si>
    <t xml:space="preserve">V9c — STACKED FILTER ANALYSIS (V8g + Zone + Contra)</t>
  </si>
  <si>
    <t xml:space="preserve">Combo</t>
  </si>
  <si>
    <t xml:space="preserve">V8g≥5 + 0 contra + optimal zone</t>
  </si>
  <si>
    <t xml:space="preserve">+6.160</t>
  </si>
  <si>
    <t xml:space="preserve">V8g≥5 + optimal zone</t>
  </si>
  <si>
    <t xml:space="preserve">V8g≥4 + 0 contra + optimal zone</t>
  </si>
  <si>
    <t xml:space="preserve">+5.601</t>
  </si>
  <si>
    <t xml:space="preserve">V8g≥4 + ≤1 contra + optimal zone</t>
  </si>
  <si>
    <t xml:space="preserve">76.7%</t>
  </si>
  <si>
    <t xml:space="preserve">+4.855</t>
  </si>
  <si>
    <t xml:space="preserve">-2.7R</t>
  </si>
  <si>
    <t xml:space="preserve">V8g≥4 + optimal zone</t>
  </si>
  <si>
    <t xml:space="preserve">+4.132</t>
  </si>
  <si>
    <t xml:space="preserve">-3.8R</t>
  </si>
  <si>
    <t xml:space="preserve">V8g≥4 + suboptimal zone</t>
  </si>
  <si>
    <t xml:space="preserve">+2.574</t>
  </si>
  <si>
    <t xml:space="preserve">-6.2R</t>
  </si>
  <si>
    <t xml:space="preserve">Zone adds +10pp WR at V8g≥4 (70.4% vs 59.8%). 2× Calmar in optimal zone. ALL top 10 combos pass walk-forward. Zero overfit. News filter has zero effect — V8g captures regime implicitly.</t>
  </si>
  <si>
    <t xml:space="preserve">V9e — TARGET OPTIMIZATION (Let Winners Run = Optimal)</t>
  </si>
  <si>
    <t xml:space="preserve">R Cap</t>
  </si>
  <si>
    <t xml:space="preserve">2R cap</t>
  </si>
  <si>
    <t xml:space="preserve">60.8%</t>
  </si>
  <si>
    <t xml:space="preserve">+0.711</t>
  </si>
  <si>
    <t xml:space="preserve">+286.5R</t>
  </si>
  <si>
    <t xml:space="preserve">5R cap</t>
  </si>
  <si>
    <t xml:space="preserve">+1.920</t>
  </si>
  <si>
    <t xml:space="preserve">+773.8R</t>
  </si>
  <si>
    <t xml:space="preserve">7R cap</t>
  </si>
  <si>
    <t xml:space="preserve">+2.309</t>
  </si>
  <si>
    <t xml:space="preserve">+930.7R</t>
  </si>
  <si>
    <t xml:space="preserve">10R cap</t>
  </si>
  <si>
    <t xml:space="preserve">+2.685</t>
  </si>
  <si>
    <t xml:space="preserve">+1,081.9R</t>
  </si>
  <si>
    <t xml:space="preserve">Unlimited (production)</t>
  </si>
  <si>
    <t xml:space="preserve">+3.477</t>
  </si>
  <si>
    <t xml:space="preserve">+1,401.3R</t>
  </si>
  <si>
    <t xml:space="preserve">100% of wins reach ≥1.5R. 93.5% ≥2R. 76.3% ≥3R. 55.1% ≥4R. 17.6% ≥10R — the runners that make the system elite. Trailing stops ALWAYS hurt. Partial profits ALWAYS hurt.</t>
  </si>
  <si>
    <t xml:space="preserve">V9b — STRESS TEST (Worst-Case Execution Scenarios)</t>
  </si>
  <si>
    <t xml:space="preserve">Baseline (0pt extra slip)</t>
  </si>
  <si>
    <t xml:space="preserve">-6.0R</t>
  </si>
  <si>
    <t xml:space="preserve">+1pt slippage</t>
  </si>
  <si>
    <t xml:space="preserve">+1,301R</t>
  </si>
  <si>
    <t xml:space="preserve">-7.3R</t>
  </si>
  <si>
    <t xml:space="preserve">+2pt slippage</t>
  </si>
  <si>
    <t xml:space="preserve">+1,200R</t>
  </si>
  <si>
    <t xml:space="preserve">-8.5R</t>
  </si>
  <si>
    <t xml:space="preserve">+3pt slippage</t>
  </si>
  <si>
    <t xml:space="preserve">-10.2R</t>
  </si>
  <si>
    <t xml:space="preserve">20% missed signals</t>
  </si>
  <si>
    <t xml:space="preserve">System remains profitable in ALL stress scenarios. Even extreme worst case (2pt extra slippage + 30% missed signals + 70% of expected WR): Calmar 39.0 at 5th percentile. Baseline assumes limit order fills with 0.25pt slippage.</t>
  </si>
  <si>
    <t xml:space="preserve">V9d — DRAWDOWN RECOVERY &amp; CONSECUTIVE LOSS BEHAVIOR (V8g≥4)</t>
  </si>
  <si>
    <t xml:space="preserve">After N Consecutive Losses</t>
  </si>
  <si>
    <t xml:space="preserve">Recovery</t>
  </si>
  <si>
    <t xml:space="preserve">After 0 losses (win)</t>
  </si>
  <si>
    <t xml:space="preserve">59.6%</t>
  </si>
  <si>
    <t xml:space="preserve">+3.153</t>
  </si>
  <si>
    <t xml:space="preserve">After 1 loss</t>
  </si>
  <si>
    <t xml:space="preserve">+4.087</t>
  </si>
  <si>
    <t xml:space="preserve">After 2 losses</t>
  </si>
  <si>
    <t xml:space="preserve">65.0%</t>
  </si>
  <si>
    <t xml:space="preserve">+2.518</t>
  </si>
  <si>
    <t xml:space="preserve">After 3 losses</t>
  </si>
  <si>
    <t xml:space="preserve">71.4%</t>
  </si>
  <si>
    <t xml:space="preserve">+6.246</t>
  </si>
  <si>
    <t xml:space="preserve">Mean reversion</t>
  </si>
  <si>
    <t xml:space="preserve">ALL drawdowns recover in ≤5 trades (100%). 62% recover in ≤2 trades. Max DD -6.0R, max 5 trades. 78% of days at/above HWM. Longest underwater: 3 days. Max loss streak: 3. Max win streak: 24. After day &lt; -2R: 100% WR, +5.76 avg R next day. 3-day avg after any loss day: +22.11R, 100% positive.</t>
  </si>
  <si>
    <t xml:space="preserve">V9a — PREMIUM/DISCOUNT ZONE ANALYSIS</t>
  </si>
  <si>
    <t xml:space="preserve">Detail</t>
  </si>
  <si>
    <t xml:space="preserve">Optimal (long=discount, short=premium)</t>
  </si>
  <si>
    <t xml:space="preserve">39.7%</t>
  </si>
  <si>
    <t xml:space="preserve">+0.948</t>
  </si>
  <si>
    <t xml:space="preserve">BOS optimal: 38.6% WR, +637.7R</t>
  </si>
  <si>
    <t xml:space="preserve">Suboptimal</t>
  </si>
  <si>
    <t xml:space="preserve">+0.125</t>
  </si>
  <si>
    <t xml:space="preserve">Dramatically worse edge</t>
  </si>
  <si>
    <t xml:space="preserve">Longs in deep discount</t>
  </si>
  <si>
    <t xml:space="preserve">+1.54</t>
  </si>
  <si>
    <t xml:space="preserve">Best long zone</t>
  </si>
  <si>
    <t xml:space="preserve">Shorts in deep premium</t>
  </si>
  <si>
    <t xml:space="preserve">38.7%</t>
  </si>
  <si>
    <t xml:space="preserve">Best short zone</t>
  </si>
  <si>
    <t xml:space="preserve">Premium/discount = entry position relative to dealing range equilibrium. Optimal zone adds +16pp WR (39.7% vs 24.5%) and 20× Calmar (43.3 vs 2.1). Production rule: prefer longs in discount, shorts in premium.</t>
  </si>
  <si>
    <t xml:space="preserve">V8 MINING SYNTHESIS — 26 Studies, 312 Days, 1,690 BOS_FVG Trades (Feb 17-18, 2026)</t>
  </si>
  <si>
    <t xml:space="preserve">Walk-forward validated (70/30 chronological split, 174 train / 75 test days). Monte Carlo simulated (10,000 runs). ZERO overfit detected across ALL strategies.</t>
  </si>
  <si>
    <t xml:space="preserve">V8g MULTI-TF ALIGNMENT — Monotonic Performance Scaling</t>
  </si>
  <si>
    <t xml:space="preserve">V8g Filter</t>
  </si>
  <si>
    <t xml:space="preserve">V8g ≥ 0 (unfiltered)</t>
  </si>
  <si>
    <t xml:space="preserve">31.5%</t>
  </si>
  <si>
    <t xml:space="preserve">+1.014</t>
  </si>
  <si>
    <t xml:space="preserve">+1,714R</t>
  </si>
  <si>
    <t xml:space="preserve">-27.4R</t>
  </si>
  <si>
    <t xml:space="preserve">+6.89</t>
  </si>
  <si>
    <t xml:space="preserve">V8g ≥ 3</t>
  </si>
  <si>
    <t xml:space="preserve">+2.764</t>
  </si>
  <si>
    <t xml:space="preserve">PASS (53.0% OOS)</t>
  </si>
  <si>
    <t xml:space="preserve">V8g ≥ 4</t>
  </si>
  <si>
    <t xml:space="preserve">+5.63</t>
  </si>
  <si>
    <t xml:space="preserve">PASS (61.7% OOS)</t>
  </si>
  <si>
    <t xml:space="preserve">V8g ≥ 5</t>
  </si>
  <si>
    <t xml:space="preserve">+4.519</t>
  </si>
  <si>
    <t xml:space="preserve">+669R</t>
  </si>
  <si>
    <t xml:space="preserve">PASS (79.6% OOS)</t>
  </si>
  <si>
    <t xml:space="preserve">V8g ≥ 6</t>
  </si>
  <si>
    <t xml:space="preserve">+6.060</t>
  </si>
  <si>
    <t xml:space="preserve">+206R</t>
  </si>
  <si>
    <t xml:space="preserve">-2.8R</t>
  </si>
  <si>
    <t xml:space="preserve">+0.83</t>
  </si>
  <si>
    <t xml:space="preserve">V8g = count of confirming timeframes (3M, 5M, 10M, 15M, 1H, 1M) at trade entry. Higher = more timeframes agree with trade direction. Monotonic: every step up improves WR, Avg R, and reduces DD.</t>
  </si>
  <si>
    <t xml:space="preserve">WALK-FORWARD OUT-OF-SAMPLE RESULTS (75 Test Days)</t>
  </si>
  <si>
    <t xml:space="preserve">n (test)</t>
  </si>
  <si>
    <t xml:space="preserve">P(losing yr)</t>
  </si>
  <si>
    <t xml:space="preserve">V8g≥4 (4+ TFs)</t>
  </si>
  <si>
    <t xml:space="preserve">61.7%</t>
  </si>
  <si>
    <t xml:space="preserve">+3.501</t>
  </si>
  <si>
    <t xml:space="preserve">+465.6R</t>
  </si>
  <si>
    <t xml:space="preserve">IMPROVED (+1.3pp)</t>
  </si>
  <si>
    <t xml:space="preserve">V8g≥5 (5+ TFs)</t>
  </si>
  <si>
    <t xml:space="preserve">+4.801</t>
  </si>
  <si>
    <t xml:space="preserve">+235.2R</t>
  </si>
  <si>
    <t xml:space="preserve">IMPROVED (+6.9pp)</t>
  </si>
  <si>
    <t xml:space="preserve">V8g≥4 + 0 contra</t>
  </si>
  <si>
    <t xml:space="preserve">84.4%</t>
  </si>
  <si>
    <t xml:space="preserve">+4.258</t>
  </si>
  <si>
    <t xml:space="preserve">+136.3R</t>
  </si>
  <si>
    <t xml:space="preserve">HOLD (+2.8pp)</t>
  </si>
  <si>
    <t xml:space="preserve">V8g≥4 + ≤1 contra</t>
  </si>
  <si>
    <t xml:space="preserve">71.0%</t>
  </si>
  <si>
    <t xml:space="preserve">+4.107</t>
  </si>
  <si>
    <t xml:space="preserve">+381.9R</t>
  </si>
  <si>
    <t xml:space="preserve">HOLD</t>
  </si>
  <si>
    <t xml:space="preserve">ZERO overfit. V8g≥4 WR IMPROVED from train (60.4%) to test (61.7%). V8g≥5 jumped +6.9pp. All 13 months profitable (100%).</t>
  </si>
  <si>
    <t xml:space="preserve">MONTE CARLO 95% CONFIDENCE INTERVALS (10,000 Simulations)</t>
  </si>
  <si>
    <t xml:space="preserve">Annual R [low]</t>
  </si>
  <si>
    <t xml:space="preserve">Annual R [high]</t>
  </si>
  <si>
    <t xml:space="preserve">Max DD [low]</t>
  </si>
  <si>
    <t xml:space="preserve">Max DD [high]</t>
  </si>
  <si>
    <t xml:space="preserve">P(losing year)</t>
  </si>
  <si>
    <t xml:space="preserve">V8g≥3</t>
  </si>
  <si>
    <t xml:space="preserve">+2,036R</t>
  </si>
  <si>
    <t xml:space="preserve">+2,700R</t>
  </si>
  <si>
    <t xml:space="preserve">-17.8R</t>
  </si>
  <si>
    <t xml:space="preserve">-7.9R</t>
  </si>
  <si>
    <t xml:space="preserve">V8g≥4</t>
  </si>
  <si>
    <t xml:space="preserve">+1,789R</t>
  </si>
  <si>
    <t xml:space="preserve">+2,348R</t>
  </si>
  <si>
    <t xml:space="preserve">-12.9R</t>
  </si>
  <si>
    <t xml:space="preserve">V8g≥5</t>
  </si>
  <si>
    <t xml:space="preserve">+1,511R</t>
  </si>
  <si>
    <t xml:space="preserve">+1,973R</t>
  </si>
  <si>
    <t xml:space="preserve">-8.0R</t>
  </si>
  <si>
    <t xml:space="preserve">+1,720R</t>
  </si>
  <si>
    <t xml:space="preserve">+2,174R</t>
  </si>
  <si>
    <t xml:space="preserve">-6.6R</t>
  </si>
  <si>
    <t xml:space="preserve">V8z EXECUTION MODEL — Tiered System</t>
  </si>
  <si>
    <t xml:space="preserve">Signals/Day</t>
  </si>
  <si>
    <t xml:space="preserve">Weekly WR</t>
  </si>
  <si>
    <t xml:space="preserve">Monthly WR</t>
  </si>
  <si>
    <t xml:space="preserve">Tier 1 (Elite)</t>
  </si>
  <si>
    <t xml:space="preserve">V8g≥4 + 0 contradicting</t>
  </si>
  <si>
    <t xml:space="preserve">0.4</t>
  </si>
  <si>
    <t xml:space="preserve">+5.226</t>
  </si>
  <si>
    <t xml:space="preserve">100%</t>
  </si>
  <si>
    <t xml:space="preserve">Tier 2 (Standard)</t>
  </si>
  <si>
    <t xml:space="preserve">V8g≥4 + ≤1 contradicting</t>
  </si>
  <si>
    <t xml:space="preserve">1.2</t>
  </si>
  <si>
    <t xml:space="preserve">+4.364</t>
  </si>
  <si>
    <t xml:space="preserve">90%</t>
  </si>
  <si>
    <t xml:space="preserve">Tier 3 (Broad)</t>
  </si>
  <si>
    <t xml:space="preserve">2.9</t>
  </si>
  <si>
    <t xml:space="preserve">96%</t>
  </si>
  <si>
    <t xml:space="preserve">Tier 1+2 Combined</t>
  </si>
  <si>
    <t xml:space="preserve">V8g≥4, ≤1 contra</t>
  </si>
  <si>
    <t xml:space="preserve">1.6</t>
  </si>
  <si>
    <t xml:space="preserve">All Tiers</t>
  </si>
  <si>
    <t xml:space="preserve">V8g≥3 (everything)</t>
  </si>
  <si>
    <t xml:space="preserve">94.2%</t>
  </si>
  <si>
    <t xml:space="preserve">TOP 10 ACTIONABLE EDGES (Ranked by Reliability × Magnitude)</t>
  </si>
  <si>
    <t xml:space="preserve">Edge</t>
  </si>
  <si>
    <t xml:space="preserve">Sample (n)</t>
  </si>
  <si>
    <t xml:space="preserve">MTF both_pro alignment</t>
  </si>
  <si>
    <t xml:space="preserve">sweep 66.1% WR, BOS 33.7% WR (+1.39R avg)</t>
  </si>
  <si>
    <t xml:space="preserve">Confluence ≥ 5</t>
  </si>
  <si>
    <t xml:space="preserve">BOS +1.65R avg, sweep 85.3% WR</t>
  </si>
  <si>
    <t xml:space="preserve">Skip contradicting 5M candles</t>
  </si>
  <si>
    <t xml:space="preserve">Calmar 2-5× improvement across all signals</t>
  </si>
  <si>
    <t xml:space="preserve">V7aa + V8a</t>
  </si>
  <si>
    <t xml:space="preserve">BOS + strong imbalance stacks</t>
  </si>
  <si>
    <t xml:space="preserve">+2.25 to +2.73R avg</t>
  </si>
  <si>
    <t xml:space="preserve">58</t>
  </si>
  <si>
    <t xml:space="preserve">BOS + strong_sell_delta at entry</t>
  </si>
  <si>
    <t xml:space="preserve">+2.24R avg</t>
  </si>
  <si>
    <t xml:space="preserve">106</t>
  </si>
  <si>
    <t xml:space="preserve">VA_fade wait-for-first-win</t>
  </si>
  <si>
    <t xml:space="preserve">50.9% WR vs 18% baseline</t>
  </si>
  <si>
    <t xml:space="preserve">Session gating</t>
  </si>
  <si>
    <t xml:space="preserve">BOS best: ny_am +1.42R, ib_first +1.38R</t>
  </si>
  <si>
    <t xml:space="preserve">8</t>
  </si>
  <si>
    <t xml:space="preserve">After big win day → next day</t>
  </si>
  <si>
    <t xml:space="preserve">+9.96R avg, 68.3% WR</t>
  </si>
  <si>
    <t xml:space="preserve">63</t>
  </si>
  <si>
    <t xml:space="preserve">9</t>
  </si>
  <si>
    <t xml:space="preserve">BOS after extreme volatility</t>
  </si>
  <si>
    <t xml:space="preserve">+4.82R per trade</t>
  </si>
  <si>
    <t xml:space="preserve">10</t>
  </si>
  <si>
    <t xml:space="preserve">1+ new trigger present</t>
  </si>
  <si>
    <t xml:space="preserve">BOS +0.56 → +1.26R (2.2× lift)</t>
  </si>
  <si>
    <t xml:space="preserve">KEY V8 SUB-STUDY HIGHLIGHTS</t>
  </si>
  <si>
    <t xml:space="preserve">V8h: FVG rejection entry (1M) = 58.8% WR. Skipped trades are 96% losers — filter avoids nearly all losing trades.</t>
  </si>
  <si>
    <t xml:space="preserve">V8j: 15S candle stop = R-maximizer. 15S/candle + ≥3c+0contra = 67.8% WR, +2.006 avg R — 2× more R/trade vs FVG stop.</t>
  </si>
  <si>
    <t xml:space="preserve">V8k: Rejection candle delta aligned + V8g≥5 = 83.8% WR. HTF trend 3/3 aligned = 64.6% WR, +470R total.</t>
  </si>
  <si>
    <t xml:space="preserve">V8o: 40 out of 40 strategies HOLD on OOS data. Zero overfit. 15S candle stop IMPROVED from 60.6% → 78.3% WR.</t>
  </si>
  <si>
    <t xml:space="preserve">V8p: 5M BOS + 1M FVG + V8g≥5 = 87.7% WR, +3.506 avg R (n=73). New top performer.</t>
  </si>
  <si>
    <t xml:space="preserve">V8q: B/E management still net negative even with fixed mechanics. Inverse trades dead. Confirmed: losses are noise, not directional failures.</t>
  </si>
  <si>
    <t xml:space="preserve">V8r: Best portfolio (Balanced + 5M BOS + 15S R-max) = 70.6% WR, Calmar 119.8, 100% months positive.</t>
  </si>
  <si>
    <t xml:space="preserve">V8s: Footprint stacked imbalances NOT useful as filter (too rare, 2.7%). Exhaustion prints nearby = required (87% of trades).</t>
  </si>
  <si>
    <t xml:space="preserve">V8t: Re-entry after correct signal = DEAD (-65.6R). Trailing stop at V8g≥5: 89.9% WR, Calmar 154.1 (highest ever).</t>
  </si>
  <si>
    <t xml:space="preserve">V8u: V8g≥4 + TFs≥3/5 (5M-Daily alignment) = Calmar 220.2 — highest risk-adjusted return ever found.</t>
  </si>
  <si>
    <t xml:space="preserve">V8w: NY AM best session (Calmar 76.6). Low/mid vol sweet spot. Clustering is fine. V8g≥3 after 3 losses: still 54.5% WR.</t>
  </si>
  <si>
    <t xml:space="preserve">V8x: 10M TF is must-have (Calmar 257 with vs 7.4 without). V8g≥4 + 0 contradicting = 82.4% WR.</t>
  </si>
  <si>
    <t xml:space="preserve">HIGH-CONVICTION SETUPS</t>
  </si>
  <si>
    <t xml:space="preserve">Every signal-filter combination achieving 50%+ win rate, ranked by conviction level.</t>
  </si>
  <si>
    <t xml:space="preserve">TIER 1: 75%+ WIN RATE — Elite Setups</t>
  </si>
  <si>
    <t xml:space="preserve">Setup</t>
  </si>
  <si>
    <t xml:space="preserve">Trades (n)</t>
  </si>
  <si>
    <t xml:space="preserve">Notes</t>
  </si>
  <si>
    <t xml:space="preserve">VA_fade | overlap | pro_15m_counter_5m</t>
  </si>
  <si>
    <t xml:space="preserve">Small sample but MASSIVE avg R. Monitor for more data.</t>
  </si>
  <si>
    <t xml:space="preserve">sweep | conf&gt;=5 | 5M confirming</t>
  </si>
  <si>
    <t xml:space="preserve">~54</t>
  </si>
  <si>
    <t xml:space="preserve">V8a/V8f</t>
  </si>
  <si>
    <t xml:space="preserve">Confluence &gt;=5 + 5M confirm. Near-perfect filter.</t>
  </si>
  <si>
    <t xml:space="preserve">sweep | both_pro | 5M confirming</t>
  </si>
  <si>
    <t xml:space="preserve">Walk-forward validated! Only ~0.14 trades/day.</t>
  </si>
  <si>
    <t xml:space="preserve">BOS_FVG &gt;=3 confirm + 0 contradict (6TF)</t>
  </si>
  <si>
    <t xml:space="preserve">THE BREAKTHROUGH. Highest WR with real sample size.</t>
  </si>
  <si>
    <t xml:space="preserve">sweep | 3M+5M+15M+1H all confirming</t>
  </si>
  <si>
    <t xml:space="preserve">4-TF alignment on sweep. Nearly 80% WR, n=109.</t>
  </si>
  <si>
    <t xml:space="preserve">sweep | ib_first | both_pro</t>
  </si>
  <si>
    <t xml:space="preserve">IB First + both pro. Small sample, explosive R.</t>
  </si>
  <si>
    <t xml:space="preserve">sweep | 5M+15M+1H all confirming</t>
  </si>
  <si>
    <t xml:space="preserve">3-TF alignment. Best balance of WR and volume.</t>
  </si>
  <si>
    <t xml:space="preserve">Pattern + signal + session triple. Small n.</t>
  </si>
  <si>
    <t xml:space="preserve">TIER 2: 60-75% WIN RATE — Workhorse Setups</t>
  </si>
  <si>
    <t xml:space="preserve">BOS_FVG &gt;=5 TF confirming</t>
  </si>
  <si>
    <t xml:space="preserve">5+ timeframes confirming. RELIABLE with n=148.</t>
  </si>
  <si>
    <t xml:space="preserve">Best 1M candle pattern in NY AM session.</t>
  </si>
  <si>
    <t xml:space="preserve">sweep | 10M+15M+1H all confirming</t>
  </si>
  <si>
    <t xml:space="preserve">Another strong 3-TF combo. n=140.</t>
  </si>
  <si>
    <t xml:space="preserve">sweep | conf&gt;=4 | 5M confirming</t>
  </si>
  <si>
    <t xml:space="preserve">Conf&gt;=4 sweet spot for sweep.</t>
  </si>
  <si>
    <t xml:space="preserve">Best volume + WR balance for sweep. n=233!</t>
  </si>
  <si>
    <t xml:space="preserve">BOS_FVG + conf&gt;=7</t>
  </si>
  <si>
    <t xml:space="preserve">~20</t>
  </si>
  <si>
    <t xml:space="preserve">Highest confluence. Low volume but extreme R.</t>
  </si>
  <si>
    <t xml:space="preserve">doji_dragonfly (1M) + BOS_FVG</t>
  </si>
  <si>
    <t xml:space="preserve">Reliable 1M pattern + signal combo.</t>
  </si>
  <si>
    <t xml:space="preserve">sweep | both_pro (no 5M gate)</t>
  </si>
  <si>
    <t xml:space="preserve">MTF both-pro without 5M gate. Trades ~1/day.</t>
  </si>
  <si>
    <t xml:space="preserve">sweep | conf&gt;=3 | 5M confirming</t>
  </si>
  <si>
    <t xml:space="preserve">Good balance. ~1.2 trades/day.</t>
  </si>
  <si>
    <t xml:space="preserve">Pattern-direction match. FULL SIZE. n=108.</t>
  </si>
  <si>
    <t xml:space="preserve">Session edge for sweep. Reliable.</t>
  </si>
  <si>
    <t xml:space="preserve">BOS_FVG + shooting_star (1M)</t>
  </si>
  <si>
    <t xml:space="preserve">1M pattern confirmation on BOS.</t>
  </si>
  <si>
    <t xml:space="preserve">sweep + confirming + Mon</t>
  </si>
  <si>
    <t xml:space="preserve">Monday edge. n=106, strong Calmar.</t>
  </si>
  <si>
    <t xml:space="preserve">London open + confirming. Large sample.</t>
  </si>
  <si>
    <t xml:space="preserve">Pattern-session edge. Small sample.</t>
  </si>
  <si>
    <t xml:space="preserve">Triple cross: signal + session + MTF.</t>
  </si>
  <si>
    <t xml:space="preserve">sweep + confirming + Fri</t>
  </si>
  <si>
    <t xml:space="preserve">Friday edge for sweep (unlike BOS).</t>
  </si>
  <si>
    <t xml:space="preserve">THE baseline. n=587. Calmar 73.5. PROVEN.</t>
  </si>
  <si>
    <t xml:space="preserve">HIGHEST CALMAR. n=373. FULL SIZE always.</t>
  </si>
  <si>
    <t xml:space="preserve">Second highest Calmar. n=396.</t>
  </si>
  <si>
    <t xml:space="preserve">BOS_FVG + doji_gravestone (1M)</t>
  </si>
  <si>
    <t xml:space="preserve">Reliable BOS + 1M pattern. High avg R.</t>
  </si>
  <si>
    <t xml:space="preserve">BOS_FVG + hammer (1M)</t>
  </si>
  <si>
    <t xml:space="preserve">1M hammer confirmation on BOS.</t>
  </si>
  <si>
    <t xml:space="preserve">VA_fade sweet spot: news window.</t>
  </si>
  <si>
    <t xml:space="preserve">BOS_FVG &gt;=3 TF confirming</t>
  </si>
  <si>
    <t xml:space="preserve">LARGEST reliable sample. n=733! 51% WR.</t>
  </si>
  <si>
    <t xml:space="preserve">WR jumps from 18% to 51% after first win.</t>
  </si>
  <si>
    <t xml:space="preserve">Best VA_fade combo. n=322.</t>
  </si>
  <si>
    <t xml:space="preserve">VA_fade + london_am + confirming</t>
  </si>
  <si>
    <t xml:space="preserve">50.2%</t>
  </si>
  <si>
    <t xml:space="preserve">+1.42</t>
  </si>
  <si>
    <t xml:space="preserve">Highest sample VA_fade edge. n=605.</t>
  </si>
  <si>
    <t xml:space="preserve">BOS_FVG + imbalance + strong_delta</t>
  </si>
  <si>
    <t xml:space="preserve">Multi-trigger combo. Explosive R.</t>
  </si>
  <si>
    <t xml:space="preserve">SUMMARY: 36 setups above 50% WR identified across all workstreams.</t>
  </si>
  <si>
    <t xml:space="preserve">8 setups above 75% WR. 28 setups between 50-75% WR. Best reliable combo: BOS_FVG &gt;=3 confirm + 0 contradict = 80.3% WR (n=117). Best volume combo: sweep + confirming = 58.4% WR (n=587).</t>
  </si>
  <si>
    <t xml:space="preserve">SUMMARY</t>
  </si>
  <si>
    <t xml:space="preserve">36 setups total</t>
  </si>
  <si>
    <t xml:space="preserve">66.2%</t>
  </si>
  <si>
    <t xml:space="preserve">+2.56</t>
  </si>
  <si>
    <t xml:space="preserve">Avg WR / Avg R / Total n / Avg Calmar</t>
  </si>
  <si>
    <t xml:space="preserve">TIER 1 (75%+)</t>
  </si>
  <si>
    <t xml:space="preserve">8 setups</t>
  </si>
  <si>
    <t xml:space="preserve">80.8%</t>
  </si>
  <si>
    <t xml:space="preserve">TIER 2 (50-75%)</t>
  </si>
  <si>
    <t xml:space="preserve">28 setups</t>
  </si>
  <si>
    <t xml:space="preserve">V8 MINING ADDITIONS — Walk-Forward Validated (75 OOS days)</t>
  </si>
  <si>
    <t xml:space="preserve">37</t>
  </si>
  <si>
    <t xml:space="preserve">V8g≥5 + 0contra + optimal zone</t>
  </si>
  <si>
    <t xml:space="preserve">+6.16</t>
  </si>
  <si>
    <t xml:space="preserve">Highest WR ever. Small n.</t>
  </si>
  <si>
    <t xml:space="preserve">38</t>
  </si>
  <si>
    <t xml:space="preserve">1M rej + V8g≥5 (london_open)</t>
  </si>
  <si>
    <t xml:space="preserve">92.6%</t>
  </si>
  <si>
    <t xml:space="preserve">+1.05</t>
  </si>
  <si>
    <t xml:space="preserve">V8j</t>
  </si>
  <si>
    <t xml:space="preserve">92%+ WR session combo</t>
  </si>
  <si>
    <t xml:space="preserve">39</t>
  </si>
  <si>
    <t xml:space="preserve">V8g≥5 + trailing 0.5R</t>
  </si>
  <si>
    <t xml:space="preserve">89.9%</t>
  </si>
  <si>
    <t xml:space="preserve">V8t</t>
  </si>
  <si>
    <t xml:space="preserve">Highest Calmar ever</t>
  </si>
  <si>
    <t xml:space="preserve">Zone stacking = massive</t>
  </si>
  <si>
    <t xml:space="preserve">41</t>
  </si>
  <si>
    <t xml:space="preserve">5M BOS + 1M FVG + V8g≥5</t>
  </si>
  <si>
    <t xml:space="preserve">87.7%</t>
  </si>
  <si>
    <t xml:space="preserve">+3.51</t>
  </si>
  <si>
    <t xml:space="preserve">V8p</t>
  </si>
  <si>
    <t xml:space="preserve">HTF BOS structure</t>
  </si>
  <si>
    <t xml:space="preserve">42</t>
  </si>
  <si>
    <t xml:space="preserve">V8g≥4 + 0contra + optimal zone</t>
  </si>
  <si>
    <t xml:space="preserve">Tier 1A production</t>
  </si>
  <si>
    <t xml:space="preserve">43</t>
  </si>
  <si>
    <t xml:space="preserve">V8g≥4 + 0contra (core 9-17)</t>
  </si>
  <si>
    <t xml:space="preserve">84.1%</t>
  </si>
  <si>
    <t xml:space="preserve">+4.97</t>
  </si>
  <si>
    <t xml:space="preserve">Core hours only</t>
  </si>
  <si>
    <t xml:space="preserve">44</t>
  </si>
  <si>
    <t xml:space="preserve">V8g≥5 + rej delta aligned</t>
  </si>
  <si>
    <t xml:space="preserve">83.8%</t>
  </si>
  <si>
    <t xml:space="preserve">+0.99</t>
  </si>
  <si>
    <t xml:space="preserve">V8k</t>
  </si>
  <si>
    <t xml:space="preserve">Orderflow confirmation</t>
  </si>
  <si>
    <t xml:space="preserve">45</t>
  </si>
  <si>
    <t xml:space="preserve">V8g≥3 + 0contra (core 9-17)</t>
  </si>
  <si>
    <t xml:space="preserve">82.9%</t>
  </si>
  <si>
    <t xml:space="preserve">+4.86</t>
  </si>
  <si>
    <t xml:space="preserve">Broad + no contra</t>
  </si>
  <si>
    <t xml:space="preserve">46</t>
  </si>
  <si>
    <t xml:space="preserve">V8g≥4 + 0contra (all sessions)</t>
  </si>
  <si>
    <t xml:space="preserve">V8z</t>
  </si>
  <si>
    <t xml:space="preserve">Tier 1 production</t>
  </si>
  <si>
    <t xml:space="preserve">V8g≥3 + 0contra (all sessions)</t>
  </si>
  <si>
    <t xml:space="preserve">81.2%</t>
  </si>
  <si>
    <t xml:space="preserve">Lower threshold</t>
  </si>
  <si>
    <t xml:space="preserve">48</t>
  </si>
  <si>
    <t xml:space="preserve">1M FVG rej + V8g≥4 + noNews</t>
  </si>
  <si>
    <t xml:space="preserve">80.2%</t>
  </si>
  <si>
    <t xml:space="preserve">V8l</t>
  </si>
  <si>
    <t xml:space="preserve">Max DD only -3.4R</t>
  </si>
  <si>
    <t xml:space="preserve">49</t>
  </si>
  <si>
    <t xml:space="preserve">V8g≥5 (all sessions)</t>
  </si>
  <si>
    <t xml:space="preserve">+4.52</t>
  </si>
  <si>
    <t xml:space="preserve">V8y</t>
  </si>
  <si>
    <t xml:space="preserve">Standalone V8g≥5</t>
  </si>
  <si>
    <t xml:space="preserve">50</t>
  </si>
  <si>
    <t xml:space="preserve">V8g≥4 + ≤1contra + core hours</t>
  </si>
  <si>
    <t xml:space="preserve">73.2%</t>
  </si>
  <si>
    <t xml:space="preserve">+4.56</t>
  </si>
  <si>
    <t xml:space="preserve">Core hours Tier 1+2</t>
  </si>
  <si>
    <t xml:space="preserve">UPDATED SUMMARY</t>
  </si>
  <si>
    <t xml:space="preserve">Total setups above 50% WR</t>
  </si>
  <si>
    <t xml:space="preserve">50 setups</t>
  </si>
  <si>
    <t xml:space="preserve">22 setups</t>
  </si>
  <si>
    <t xml:space="preserve">Highest WR</t>
  </si>
  <si>
    <t xml:space="preserve">94.4% (V8g≥5 + 0contra + optimal zone)</t>
  </si>
  <si>
    <t xml:space="preserve">FACTOR ANALYSIS</t>
  </si>
  <si>
    <t xml:space="preserve">Isolated contribution of each filter variable to win rate and R/trade performance.</t>
  </si>
  <si>
    <t xml:space="preserve">1. ALIGNMENT (THE #1 VARIABLE — 150-200% performance swing)</t>
  </si>
  <si>
    <t xml:space="preserve">Alignment Type</t>
  </si>
  <si>
    <t xml:space="preserve">Confirming</t>
  </si>
  <si>
    <t xml:space="preserve">+1.86</t>
  </si>
  <si>
    <t xml:space="preserve">ALWAYS TRADE</t>
  </si>
  <si>
    <t xml:space="preserve">Contradicting</t>
  </si>
  <si>
    <t xml:space="preserve">20.1%</t>
  </si>
  <si>
    <t xml:space="preserve">-0.05</t>
  </si>
  <si>
    <t xml:space="preserve">NEVER TRADE</t>
  </si>
  <si>
    <t xml:space="preserve">-0.66</t>
  </si>
  <si>
    <t xml:space="preserve">42.6%</t>
  </si>
  <si>
    <t xml:space="preserve">+0.94</t>
  </si>
  <si>
    <t xml:space="preserve">TRADE (with session gate)</t>
  </si>
  <si>
    <t xml:space="preserve">17.0%</t>
  </si>
  <si>
    <t xml:space="preserve">-0.47</t>
  </si>
  <si>
    <t xml:space="preserve">2. MULTI-TF CANDLE ALIGNMENT (V8g — #2 Variable)</t>
  </si>
  <si>
    <t xml:space="preserve"># TFs Confirming</t>
  </si>
  <si>
    <t xml:space="preserve">0 of 6 TFs</t>
  </si>
  <si>
    <t xml:space="preserve">All signals</t>
  </si>
  <si>
    <t xml:space="preserve">5.7%</t>
  </si>
  <si>
    <t xml:space="preserve">-0.93</t>
  </si>
  <si>
    <t xml:space="preserve">3 of 6 TFs</t>
  </si>
  <si>
    <t xml:space="preserve">23.6%</t>
  </si>
  <si>
    <t xml:space="preserve">Marginal</t>
  </si>
  <si>
    <t xml:space="preserve">5 of 6 TFs</t>
  </si>
  <si>
    <t xml:space="preserve">32.5%</t>
  </si>
  <si>
    <t xml:space="preserve">Good</t>
  </si>
  <si>
    <t xml:space="preserve">6 of 6 TFs</t>
  </si>
  <si>
    <t xml:space="preserve">40.2%</t>
  </si>
  <si>
    <t xml:space="preserve">Excellent</t>
  </si>
  <si>
    <t xml:space="preserve">&gt;=3 + 0 contradict</t>
  </si>
  <si>
    <t xml:space="preserve">ELITE — BEST COMBO FOUND</t>
  </si>
  <si>
    <t xml:space="preserve">~+2.70</t>
  </si>
  <si>
    <t xml:space="preserve">ELITE</t>
  </si>
  <si>
    <t xml:space="preserve">&gt;=5 TFs</t>
  </si>
  <si>
    <t xml:space="preserve">Excellent, reliable</t>
  </si>
  <si>
    <t xml:space="preserve">Excellent, good volume</t>
  </si>
  <si>
    <t xml:space="preserve">1M timeframe</t>
  </si>
  <si>
    <t xml:space="preserve">USELESS — drop. Contradicting &gt; confirming.</t>
  </si>
  <si>
    <t xml:space="preserve">10M timeframe</t>
  </si>
  <si>
    <t xml:space="preserve">32.3% vs 12.2%</t>
  </si>
  <si>
    <t xml:space="preserve">+20.1pp</t>
  </si>
  <si>
    <t xml:space="preserve">BEST individual TF spread</t>
  </si>
  <si>
    <t xml:space="preserve">3. CONFLUENCE SCORE (#3 Variable — monotonic scaling)</t>
  </si>
  <si>
    <t xml:space="preserve">Confluence Level</t>
  </si>
  <si>
    <t xml:space="preserve">conf_0</t>
  </si>
  <si>
    <t xml:space="preserve">25.8%</t>
  </si>
  <si>
    <t xml:space="preserve">+0.25</t>
  </si>
  <si>
    <t xml:space="preserve">Weak</t>
  </si>
  <si>
    <t xml:space="preserve">conf_3</t>
  </si>
  <si>
    <t xml:space="preserve">32.6%</t>
  </si>
  <si>
    <t xml:space="preserve">Decent</t>
  </si>
  <si>
    <t xml:space="preserve">conf_5</t>
  </si>
  <si>
    <t xml:space="preserve">37.5%</t>
  </si>
  <si>
    <t xml:space="preserve">+1.65</t>
  </si>
  <si>
    <t xml:space="preserve">conf_7</t>
  </si>
  <si>
    <t xml:space="preserve">Excellent (low volume)</t>
  </si>
  <si>
    <t xml:space="preserve">29.9%</t>
  </si>
  <si>
    <t xml:space="preserve">+0.11</t>
  </si>
  <si>
    <t xml:space="preserve">49.7%</t>
  </si>
  <si>
    <t xml:space="preserve">+1.11</t>
  </si>
  <si>
    <t xml:space="preserve">ELITE — 85% WR</t>
  </si>
  <si>
    <t xml:space="preserve">4. SESSION (Major impact — varies by signal)</t>
  </si>
  <si>
    <t xml:space="preserve">Session</t>
  </si>
  <si>
    <t xml:space="preserve">ny_am</t>
  </si>
  <si>
    <t xml:space="preserve">31.1%</t>
  </si>
  <si>
    <t xml:space="preserve">BEST for BOS</t>
  </si>
  <si>
    <t xml:space="preserve">ib_first</t>
  </si>
  <si>
    <t xml:space="preserve">silver_bullet</t>
  </si>
  <si>
    <t xml:space="preserve">27.4%</t>
  </si>
  <si>
    <t xml:space="preserve">+1.15</t>
  </si>
  <si>
    <t xml:space="preserve">Good for BOS</t>
  </si>
  <si>
    <t xml:space="preserve">power_hour</t>
  </si>
  <si>
    <t xml:space="preserve">+0.77</t>
  </si>
  <si>
    <t xml:space="preserve">Weak for BOS</t>
  </si>
  <si>
    <t xml:space="preserve">london_am</t>
  </si>
  <si>
    <t xml:space="preserve">+0.76</t>
  </si>
  <si>
    <t xml:space="preserve">42.3%</t>
  </si>
  <si>
    <t xml:space="preserve">+0.85</t>
  </si>
  <si>
    <t xml:space="preserve">BEST for sweep</t>
  </si>
  <si>
    <t xml:space="preserve">41.8%</t>
  </si>
  <si>
    <t xml:space="preserve">+0.44</t>
  </si>
  <si>
    <t xml:space="preserve">Decent for sweep</t>
  </si>
  <si>
    <t xml:space="preserve">london_open</t>
  </si>
  <si>
    <t xml:space="preserve">37.2%</t>
  </si>
  <si>
    <t xml:space="preserve">+0.30</t>
  </si>
  <si>
    <t xml:space="preserve">Poor for sweep</t>
  </si>
  <si>
    <t xml:space="preserve">overlap</t>
  </si>
  <si>
    <t xml:space="preserve">+1.18</t>
  </si>
  <si>
    <t xml:space="preserve">BEST for VA</t>
  </si>
  <si>
    <t xml:space="preserve">+1.08</t>
  </si>
  <si>
    <t xml:space="preserve">Good for VA</t>
  </si>
  <si>
    <t xml:space="preserve">-0.56</t>
  </si>
  <si>
    <t xml:space="preserve">KILL — negative R</t>
  </si>
  <si>
    <t xml:space="preserve">-0.13</t>
  </si>
  <si>
    <t xml:space="preserve">-0.24</t>
  </si>
  <si>
    <t xml:space="preserve">-0.09</t>
  </si>
  <si>
    <t xml:space="preserve">-0.04</t>
  </si>
  <si>
    <t xml:space="preserve">805</t>
  </si>
  <si>
    <t xml:space="preserve">5. DAY OF WEEK</t>
  </si>
  <si>
    <t xml:space="preserve">Day</t>
  </si>
  <si>
    <t xml:space="preserve">Monday</t>
  </si>
  <si>
    <t xml:space="preserve">35.1%</t>
  </si>
  <si>
    <t xml:space="preserve">+1.31</t>
  </si>
  <si>
    <t xml:space="preserve">BEST day for BOS</t>
  </si>
  <si>
    <t xml:space="preserve">Wednesday</t>
  </si>
  <si>
    <t xml:space="preserve">33.5%</t>
  </si>
  <si>
    <t xml:space="preserve">+1.21</t>
  </si>
  <si>
    <t xml:space="preserve">Thursday</t>
  </si>
  <si>
    <t xml:space="preserve">32.2%</t>
  </si>
  <si>
    <t xml:space="preserve">+1.17</t>
  </si>
  <si>
    <t xml:space="preserve">Friday</t>
  </si>
  <si>
    <t xml:space="preserve">26.7%</t>
  </si>
  <si>
    <t xml:space="preserve">+0.64</t>
  </si>
  <si>
    <t xml:space="preserve">WEAK — avoid</t>
  </si>
  <si>
    <t xml:space="preserve">40.3%</t>
  </si>
  <si>
    <t xml:space="preserve">+0.54</t>
  </si>
  <si>
    <t xml:space="preserve">BEST day for sweep</t>
  </si>
  <si>
    <t xml:space="preserve">36.9%</t>
  </si>
  <si>
    <t xml:space="preserve">+0.52</t>
  </si>
  <si>
    <t xml:space="preserve">Good (unlike BOS)</t>
  </si>
  <si>
    <t xml:space="preserve">+0.21</t>
  </si>
  <si>
    <t xml:space="preserve">Worst day for sweep</t>
  </si>
  <si>
    <t xml:space="preserve">+0.73</t>
  </si>
  <si>
    <t xml:space="preserve">BEST day for VA</t>
  </si>
  <si>
    <t xml:space="preserve">31.7%</t>
  </si>
  <si>
    <t xml:space="preserve">+0.12</t>
  </si>
  <si>
    <t xml:space="preserve">Worst day for VA</t>
  </si>
  <si>
    <t xml:space="preserve">6. NEW TRIGGERS (V8b — Footprint/Volume)</t>
  </si>
  <si>
    <t xml:space="preserve">Trigger</t>
  </si>
  <si>
    <t xml:space="preserve">strong_buy_imbalance</t>
  </si>
  <si>
    <t xml:space="preserve">31.8%</t>
  </si>
  <si>
    <t xml:space="preserve">+2.73</t>
  </si>
  <si>
    <t xml:space="preserve">MASSIVE avg R lift</t>
  </si>
  <si>
    <t xml:space="preserve">strong_sell_imbalance</t>
  </si>
  <si>
    <t xml:space="preserve">36.1%</t>
  </si>
  <si>
    <t xml:space="preserve">+2.25</t>
  </si>
  <si>
    <t xml:space="preserve">Strong lift</t>
  </si>
  <si>
    <t xml:space="preserve">strong_sell_delta (entry)</t>
  </si>
  <si>
    <t xml:space="preserve">34.9%</t>
  </si>
  <si>
    <t xml:space="preserve">RELIABLE — n=106</t>
  </si>
  <si>
    <t xml:space="preserve">confirming delta</t>
  </si>
  <si>
    <t xml:space="preserve">28.6%</t>
  </si>
  <si>
    <t xml:space="preserve">Good lift</t>
  </si>
  <si>
    <t xml:space="preserve">double_bos_aligned</t>
  </si>
  <si>
    <t xml:space="preserve">34.5%</t>
  </si>
  <si>
    <t xml:space="preserve">Moderate lift, big sample</t>
  </si>
  <si>
    <t xml:space="preserve">0 triggers present</t>
  </si>
  <si>
    <t xml:space="preserve">+0.56</t>
  </si>
  <si>
    <t xml:space="preserve">1+ triggers present</t>
  </si>
  <si>
    <t xml:space="preserve">+1.26</t>
  </si>
  <si>
    <t xml:space="preserve">2.2x lift over baseline</t>
  </si>
  <si>
    <t xml:space="preserve">2+ triggers present</t>
  </si>
  <si>
    <t xml:space="preserve">+1.44</t>
  </si>
  <si>
    <t xml:space="preserve">2.6x lift</t>
  </si>
  <si>
    <t xml:space="preserve">7. B/E MANAGEMENT (Confirmed: DON'T USE)</t>
  </si>
  <si>
    <t xml:space="preserve">BE Config</t>
  </si>
  <si>
    <t xml:space="preserve">no_be</t>
  </si>
  <si>
    <t xml:space="preserve">+2,287R</t>
  </si>
  <si>
    <t xml:space="preserve">BEST — no B/E ever</t>
  </si>
  <si>
    <t xml:space="preserve">be_1.5r</t>
  </si>
  <si>
    <t xml:space="preserve">+1,885R</t>
  </si>
  <si>
    <t xml:space="preserve">Loses 402R</t>
  </si>
  <si>
    <t xml:space="preserve">be_1.0r</t>
  </si>
  <si>
    <t xml:space="preserve">+1,738R</t>
  </si>
  <si>
    <t xml:space="preserve">Loses 549R</t>
  </si>
  <si>
    <t xml:space="preserve">be_0.5r</t>
  </si>
  <si>
    <t xml:space="preserve">+1,680R</t>
  </si>
  <si>
    <t xml:space="preserve">Loses 607R — worst</t>
  </si>
  <si>
    <t xml:space="preserve">+699R</t>
  </si>
  <si>
    <t xml:space="preserve">BEST</t>
  </si>
  <si>
    <t xml:space="preserve">+376R</t>
  </si>
  <si>
    <t xml:space="preserve">Loses 323R</t>
  </si>
  <si>
    <t xml:space="preserve">8. 5M CANDLE PATTERNS — Directional Match (THE critical filter)</t>
  </si>
  <si>
    <t xml:space="preserve">When 5M candle confirms signal direction: +1.6R avg. When it contradicts: LOSE MONEY. This filter alone improves Calmar +118%, cuts MaxDD 47%.</t>
  </si>
  <si>
    <t xml:space="preserve">Pattern + Direction</t>
  </si>
  <si>
    <t xml:space="preserve">strong_close_bear + SHORT</t>
  </si>
  <si>
    <t xml:space="preserve">FULL SIZE — Calmar 122.1</t>
  </si>
  <si>
    <t xml:space="preserve">strong_close_bull + LONG</t>
  </si>
  <si>
    <t xml:space="preserve">FULL SIZE — Calmar 101.1</t>
  </si>
  <si>
    <t xml:space="preserve">marubozu_bull + LONG</t>
  </si>
  <si>
    <t xml:space="preserve">FULL SIZE — strong confirm</t>
  </si>
  <si>
    <t xml:space="preserve">hanging_man (5M)</t>
  </si>
  <si>
    <t xml:space="preserve">+1.40</t>
  </si>
  <si>
    <t xml:space="preserve">GOLD pattern — confirms</t>
  </si>
  <si>
    <t xml:space="preserve">strong_close_bear (5M)</t>
  </si>
  <si>
    <t xml:space="preserve">+1.33</t>
  </si>
  <si>
    <t xml:space="preserve">GOLD when directional</t>
  </si>
  <si>
    <t xml:space="preserve">marubozu_bull (5M)</t>
  </si>
  <si>
    <t xml:space="preserve">+1.23</t>
  </si>
  <si>
    <t xml:space="preserve">strong_close_bull (5M)</t>
  </si>
  <si>
    <t xml:space="preserve">+1.14</t>
  </si>
  <si>
    <t xml:space="preserve">TOXIC: 5M candle CONTRADICTS signal direction — skip these trades always</t>
  </si>
  <si>
    <t xml:space="preserve">strong_close_bear + LONG</t>
  </si>
  <si>
    <t xml:space="preserve">7.0%</t>
  </si>
  <si>
    <t xml:space="preserve">-0.81</t>
  </si>
  <si>
    <t xml:space="preserve">TOXIC — direction mismatch</t>
  </si>
  <si>
    <t xml:space="preserve">strong_close_bull + SHORT</t>
  </si>
  <si>
    <t xml:space="preserve">-0.94</t>
  </si>
  <si>
    <t xml:space="preserve">marubozu_bull + SHORT</t>
  </si>
  <si>
    <t xml:space="preserve">8.6%</t>
  </si>
  <si>
    <t xml:space="preserve">-0.87</t>
  </si>
  <si>
    <t xml:space="preserve">shooting_star (contra)</t>
  </si>
  <si>
    <t xml:space="preserve">-0.30</t>
  </si>
  <si>
    <t xml:space="preserve">TOXIC — worst 5M contra</t>
  </si>
  <si>
    <t xml:space="preserve">long_upper_shadow (contra)</t>
  </si>
  <si>
    <t xml:space="preserve">-0.19</t>
  </si>
  <si>
    <t xml:space="preserve">TOXIC — shadow contra</t>
  </si>
  <si>
    <t xml:space="preserve">9. 1M CANDLE PATTERNS AT ENTRY (Counter-intuitive: indecision &gt; momentum)</t>
  </si>
  <si>
    <t xml:space="preserve">KEY INSIGHT: Indecision candles (doji, pin bar) OUTPERFORM momentum candles at 1M entry. Momentum = chasing the spike = bad fills.</t>
  </si>
  <si>
    <t xml:space="preserve">1M Pattern at Entry</t>
  </si>
  <si>
    <t xml:space="preserve">doji_gravestone</t>
  </si>
  <si>
    <t xml:space="preserve">BEST 1M pattern — highest avg R</t>
  </si>
  <si>
    <t xml:space="preserve">doji_dragonfly</t>
  </si>
  <si>
    <t xml:space="preserve">BEST 1M WR — 67.4%</t>
  </si>
  <si>
    <t xml:space="preserve">doji_dragonfly + ny_am</t>
  </si>
  <si>
    <t xml:space="preserve">Session boost — small n</t>
  </si>
  <si>
    <t xml:space="preserve">hanging_man</t>
  </si>
  <si>
    <t xml:space="preserve">Strong — indecision works</t>
  </si>
  <si>
    <t xml:space="preserve">inverted_hammer</t>
  </si>
  <si>
    <t xml:space="preserve">Good — indecision works</t>
  </si>
  <si>
    <t xml:space="preserve">hammer</t>
  </si>
  <si>
    <t xml:space="preserve">Reliable BOS confirmation</t>
  </si>
  <si>
    <t xml:space="preserve">shooting_star</t>
  </si>
  <si>
    <t xml:space="preserve">Strong rejection pattern</t>
  </si>
  <si>
    <t xml:space="preserve">doji (any)</t>
  </si>
  <si>
    <t xml:space="preserve">+1.76</t>
  </si>
  <si>
    <t xml:space="preserve">vs 31.6% baseline — +40% WR lift</t>
  </si>
  <si>
    <t xml:space="preserve">pin_bar_bull</t>
  </si>
  <si>
    <t xml:space="preserve">43.4%</t>
  </si>
  <si>
    <t xml:space="preserve">+1.73</t>
  </si>
  <si>
    <t xml:space="preserve">Strong 1M confirmation</t>
  </si>
  <si>
    <t xml:space="preserve">45.6%</t>
  </si>
  <si>
    <t xml:space="preserve">+1.43</t>
  </si>
  <si>
    <t xml:space="preserve">Good 1M confirmation</t>
  </si>
  <si>
    <t xml:space="preserve">Moderate 1M confirmation</t>
  </si>
  <si>
    <t xml:space="preserve">marubozu_bull (1M)</t>
  </si>
  <si>
    <t xml:space="preserve">WORST — momentum = chasing</t>
  </si>
  <si>
    <t xml:space="preserve">10. MULTI-CANDLE PATTERNS (2-bar &amp; 3-bar, 5M timeframe)</t>
  </si>
  <si>
    <t xml:space="preserve">Pattern</t>
  </si>
  <si>
    <t xml:space="preserve">bullish_engulfing + silver_bullet</t>
  </si>
  <si>
    <t xml:space="preserve">2-bar edge — session specific</t>
  </si>
  <si>
    <t xml:space="preserve">morning_star</t>
  </si>
  <si>
    <t xml:space="preserve">59.2%</t>
  </si>
  <si>
    <t xml:space="preserve">+1.79</t>
  </si>
  <si>
    <t xml:space="preserve">3-bar edge — reliable n=49</t>
  </si>
  <si>
    <t xml:space="preserve">evening_star</t>
  </si>
  <si>
    <t xml:space="preserve">53.6%</t>
  </si>
  <si>
    <t xml:space="preserve">3-bar edge</t>
  </si>
  <si>
    <t xml:space="preserve">three_black_crows</t>
  </si>
  <si>
    <t xml:space="preserve">+0.95</t>
  </si>
  <si>
    <t xml:space="preserve">ALL 3-bar patterns positive</t>
  </si>
  <si>
    <t xml:space="preserve">three_white_soldiers</t>
  </si>
  <si>
    <t xml:space="preserve">engulfing (bullish)</t>
  </si>
  <si>
    <t xml:space="preserve">+0.79</t>
  </si>
  <si>
    <t xml:space="preserve">2-bar positive</t>
  </si>
  <si>
    <t xml:space="preserve">engulfing (bearish)</t>
  </si>
  <si>
    <t xml:space="preserve">bearish_harami</t>
  </si>
  <si>
    <t xml:space="preserve">-0.18</t>
  </si>
  <si>
    <t xml:space="preserve">ONLY negative multi-candle</t>
  </si>
  <si>
    <t xml:space="preserve">11. COMPOSITE GOLD COMBOS: BOS_FVG + Pattern Confirmation</t>
  </si>
  <si>
    <t xml:space="preserve">These are the best pattern × signal combinations. BOS_FVG + strong_close at 83.9% WR is extreme (low n — needs more data).</t>
  </si>
  <si>
    <t xml:space="preserve">EXTREME — needs more data (n=31)</t>
  </si>
  <si>
    <t xml:space="preserve">Reliable — good sample</t>
  </si>
  <si>
    <t xml:space="preserve">MOST RELIABLE — n=111</t>
  </si>
  <si>
    <t xml:space="preserve">BOS_FVG + strong_close_bear</t>
  </si>
  <si>
    <t xml:space="preserve">+2.12</t>
  </si>
  <si>
    <t xml:space="preserve">Calmar 43.4 — PROVEN n=190</t>
  </si>
  <si>
    <t xml:space="preserve">BOS_FVG + hanging_man</t>
  </si>
  <si>
    <t xml:space="preserve">Strong pattern confirmation</t>
  </si>
  <si>
    <t xml:space="preserve">BOS_FVG + doji_dragonfly</t>
  </si>
  <si>
    <t xml:space="preserve">+1.71</t>
  </si>
  <si>
    <t xml:space="preserve">Solid absorption pattern</t>
  </si>
  <si>
    <t xml:space="preserve">12. FVG FILL CANDLE QUALITY (What candle is at the fill point)</t>
  </si>
  <si>
    <t xml:space="preserve">Fill Candle Type</t>
  </si>
  <si>
    <t xml:space="preserve">Doji at FVG fill</t>
  </si>
  <si>
    <t xml:space="preserve">40.8%</t>
  </si>
  <si>
    <t xml:space="preserve">+1.48</t>
  </si>
  <si>
    <t xml:space="preserve">BEST fill — absorption = reversal</t>
  </si>
  <si>
    <t xml:space="preserve">Strong close no wick at fill</t>
  </si>
  <si>
    <t xml:space="preserve">30.8%</t>
  </si>
  <si>
    <t xml:space="preserve">+0.26</t>
  </si>
  <si>
    <t xml:space="preserve">WORST fill — momentum through gap</t>
  </si>
  <si>
    <t xml:space="preserve">13. 15-SECOND SUB-MINUTE CONFIRMATION (V7r-b)</t>
  </si>
  <si>
    <t xml:space="preserve">Counter-intuitive: NEUTRAL 15S candles outperform confirmation candles. Low volume &gt; high volume at entry.</t>
  </si>
  <si>
    <t xml:space="preserve">15S Condition</t>
  </si>
  <si>
    <t xml:space="preserve">15S shooting_star at entry</t>
  </si>
  <si>
    <t xml:space="preserve">35.4%</t>
  </si>
  <si>
    <t xml:space="preserve">+0.96</t>
  </si>
  <si>
    <t xml:space="preserve">Best 15S pattern</t>
  </si>
  <si>
    <t xml:space="preserve">Best 15S combo</t>
  </si>
  <si>
    <t xml:space="preserve">Neutral 15S candle</t>
  </si>
  <si>
    <t xml:space="preserve">OUTPERFORMS confirmation (34 vs 31%)</t>
  </si>
  <si>
    <t xml:space="preserve">Confirmation 15S candle</t>
  </si>
  <si>
    <t xml:space="preserve">Worse than neutral — surprising</t>
  </si>
  <si>
    <t xml:space="preserve">LOW volume at 15S entry</t>
  </si>
  <si>
    <t xml:space="preserve">LOW vol &gt; HIGH vol (0.66 vs 0.44)</t>
  </si>
  <si>
    <t xml:space="preserve">HIGH volume at 15S entry</t>
  </si>
  <si>
    <t xml:space="preserve">Worse — high vol = chasing</t>
  </si>
  <si>
    <t xml:space="preserve">Wait 3×15S bars</t>
  </si>
  <si>
    <t xml:space="preserve">34.6%</t>
  </si>
  <si>
    <t xml:space="preserve">Filters 19% trades, +0.11R lift</t>
  </si>
  <si>
    <t xml:space="preserve">15. FADING 0/1/2 TF SETUPS — Contra-Signal Opportunities</t>
  </si>
  <si>
    <t xml:space="preserve">When 0-2 of 6 TFs confirm your signal direction, the signal is WRONG. Can we fade it? These are the numbers.</t>
  </si>
  <si>
    <t xml:space="preserve">TF Alignment</t>
  </si>
  <si>
    <t xml:space="preserve">Original Signal</t>
  </si>
  <si>
    <t xml:space="preserve">Fade Thesis</t>
  </si>
  <si>
    <t xml:space="preserve">0 of 6 TFs confirm</t>
  </si>
  <si>
    <t xml:space="preserve">FADE CANDIDATE — 94.3% of these lose</t>
  </si>
  <si>
    <t xml:space="preserve">1 of 6 TFs confirm</t>
  </si>
  <si>
    <t xml:space="preserve">~12%</t>
  </si>
  <si>
    <t xml:space="preserve">-0.65</t>
  </si>
  <si>
    <t xml:space="preserve">~500</t>
  </si>
  <si>
    <t xml:space="preserve">FADE CANDIDATE — 88% lose</t>
  </si>
  <si>
    <t xml:space="preserve">2 of 6 TFs confirm</t>
  </si>
  <si>
    <t xml:space="preserve">~18%</t>
  </si>
  <si>
    <t xml:space="preserve">~700</t>
  </si>
  <si>
    <t xml:space="preserve">MARGINAL FADE — 82% lose</t>
  </si>
  <si>
    <t xml:space="preserve">0 TF + BOS_FVG long</t>
  </si>
  <si>
    <t xml:space="preserve">&lt;10%</t>
  </si>
  <si>
    <t xml:space="preserve">-1.10</t>
  </si>
  <si>
    <t xml:space="preserve">~80</t>
  </si>
  <si>
    <t xml:space="preserve">STRONG FADE — go short instead?</t>
  </si>
  <si>
    <t xml:space="preserve">0 TF + sweep long</t>
  </si>
  <si>
    <t xml:space="preserve">&lt;8%</t>
  </si>
  <si>
    <t xml:space="preserve">-0.85</t>
  </si>
  <si>
    <t xml:space="preserve">~60</t>
  </si>
  <si>
    <t xml:space="preserve">&gt;=3 confirm + 0 contra</t>
  </si>
  <si>
    <t xml:space="preserve">(REFERENCE — this is the GOOD side)</t>
  </si>
  <si>
    <t xml:space="preserve">FADE LOGIC: When BOS fires long but 0-1 TFs agree → ALL timeframes say price is going DOWN. The BOS signal is noise, the TFs are truth.</t>
  </si>
  <si>
    <t xml:space="preserve">NEXT STEP: Backtest taking the OPPOSITE trade when 0-1 TFs confirm. If 94% of longs lose at 0 TF, the short should win ~60-70%.</t>
  </si>
  <si>
    <t xml:space="preserve">16. OVERLAY COMBOS: Footprint × TF Alignment × Pattern (NEW)</t>
  </si>
  <si>
    <t xml:space="preserve">Stacking filters that are independently validated. Each filter is proven; combining them should multiply edge.</t>
  </si>
  <si>
    <t xml:space="preserve">Combo Stack</t>
  </si>
  <si>
    <t xml:space="preserve">Est. WR</t>
  </si>
  <si>
    <t xml:space="preserve">Known Avg R</t>
  </si>
  <si>
    <t xml:space="preserve">Logic</t>
  </si>
  <si>
    <t xml:space="preserve">n (est)</t>
  </si>
  <si>
    <t xml:space="preserve">BOS &gt;=3TF + strong_imbalance</t>
  </si>
  <si>
    <t xml:space="preserve">~85%+</t>
  </si>
  <si>
    <t xml:space="preserve">+5.10 base</t>
  </si>
  <si>
    <t xml:space="preserve">V8g alignment + V8b imbalance lifts R 2.2x</t>
  </si>
  <si>
    <t xml:space="preserve">~15-30</t>
  </si>
  <si>
    <t xml:space="preserve">TEST — small n expected</t>
  </si>
  <si>
    <t xml:space="preserve">BOS &gt;=3TF + strong_sell_delta</t>
  </si>
  <si>
    <t xml:space="preserve">~82%+</t>
  </si>
  <si>
    <t xml:space="preserve">V8g alignment + V8b delta. Delta adds +2.24R standalone</t>
  </si>
  <si>
    <t xml:space="preserve">~20-40</t>
  </si>
  <si>
    <t xml:space="preserve">TEST — promising stack</t>
  </si>
  <si>
    <t xml:space="preserve">BOS &gt;=3TF + doji_1M_entry</t>
  </si>
  <si>
    <t xml:space="preserve">V8g alignment + V7aa best 1M pattern (67.4% WR standalone)</t>
  </si>
  <si>
    <t xml:space="preserve">~10-20</t>
  </si>
  <si>
    <t xml:space="preserve">TEST — triple filter</t>
  </si>
  <si>
    <t xml:space="preserve">BOS &gt;=3TF + strong_close_confirm</t>
  </si>
  <si>
    <t xml:space="preserve">~88%+</t>
  </si>
  <si>
    <t xml:space="preserve">+6.15 base</t>
  </si>
  <si>
    <t xml:space="preserve">V8g alignment + BOS+strong_close (83.9% WR standalone)</t>
  </si>
  <si>
    <t xml:space="preserve">~5-15</t>
  </si>
  <si>
    <t xml:space="preserve">TEST — EXTREME but tiny n</t>
  </si>
  <si>
    <t xml:space="preserve">sweep conf&gt;=5 + morning_star</t>
  </si>
  <si>
    <t xml:space="preserve">+2.74 base</t>
  </si>
  <si>
    <t xml:space="preserve">V8a confluence + V7aa 3-bar pattern (59.2% WR)</t>
  </si>
  <si>
    <t xml:space="preserve">~5-10</t>
  </si>
  <si>
    <t xml:space="preserve">TEST — sweep elite stack</t>
  </si>
  <si>
    <t xml:space="preserve">sweep conf&gt;=5 + strong_close_bull</t>
  </si>
  <si>
    <t xml:space="preserve">~87%+</t>
  </si>
  <si>
    <t xml:space="preserve">V8a confluence + directional confirm (56.8% WR)</t>
  </si>
  <si>
    <t xml:space="preserve">TEST — practical stack</t>
  </si>
  <si>
    <t xml:space="preserve">BOS &gt;=3TF + imb + post_big_win</t>
  </si>
  <si>
    <t xml:space="preserve">~90%?</t>
  </si>
  <si>
    <t xml:space="preserve">+9.96 base</t>
  </si>
  <si>
    <t xml:space="preserve">V8g + V8b + V8e momentum. Triple stack with momentum</t>
  </si>
  <si>
    <t xml:space="preserve">~3-8</t>
  </si>
  <si>
    <t xml:space="preserve">RESEARCH — too few trades?</t>
  </si>
  <si>
    <t xml:space="preserve">BOS &gt;=3TF + doji_fill + low_vol_15S</t>
  </si>
  <si>
    <t xml:space="preserve">~80%+</t>
  </si>
  <si>
    <t xml:space="preserve">+1.48 base</t>
  </si>
  <si>
    <t xml:space="preserve">V8g + V7aa fill quality + V7r-b sub-minute</t>
  </si>
  <si>
    <t xml:space="preserve">~10-25</t>
  </si>
  <si>
    <t xml:space="preserve">TEST — entry quality stack</t>
  </si>
  <si>
    <t xml:space="preserve">sweep 4TF + both_pro + ny_am</t>
  </si>
  <si>
    <t xml:space="preserve">+2.82 base</t>
  </si>
  <si>
    <t xml:space="preserve">V8g + V8a MTF + V8e session. Triple validated</t>
  </si>
  <si>
    <t xml:space="preserve">TEST — sweep quality stack</t>
  </si>
  <si>
    <t xml:space="preserve">FADE: 0TF + strong_sell_delta</t>
  </si>
  <si>
    <t xml:space="preserve">~65%?</t>
  </si>
  <si>
    <t xml:space="preserve">unknown</t>
  </si>
  <si>
    <t xml:space="preserve">Fade BOS long when 0TFs + delta confirms SHORT</t>
  </si>
  <si>
    <t xml:space="preserve">RESEARCH — new signal class</t>
  </si>
  <si>
    <t xml:space="preserve">FADE: 0TF + imbalance_short</t>
  </si>
  <si>
    <t xml:space="preserve">~60%?</t>
  </si>
  <si>
    <t xml:space="preserve">Fade BOS long when 0TFs + imbalance says SHORT</t>
  </si>
  <si>
    <t xml:space="preserve">17. FOOTPRINTS &amp; FAILED AUCTIONS AS ENTRY TRIGGERS (NEW)</t>
  </si>
  <si>
    <t xml:space="preserve">V8b proved footprint data adds 2.2x R lift. Failed auctions = price rejection at VA high/low = institutional contra-flow.</t>
  </si>
  <si>
    <t xml:space="preserve">Trigger Type</t>
  </si>
  <si>
    <t xml:space="preserve">What It Means</t>
  </si>
  <si>
    <t xml:space="preserve">How To Use</t>
  </si>
  <si>
    <t xml:space="preserve">Bid volume &gt;&gt; ask at level
(aggressive buying at FVG)</t>
  </si>
  <si>
    <t xml:space="preserve">BOS entry confirm — 2.7x R lift</t>
  </si>
  <si>
    <t xml:space="preserve">Ask volume &gt;&gt; bid at level
(aggressive selling at FVG)</t>
  </si>
  <si>
    <t xml:space="preserve">BOS entry confirm — 2.2x R lift</t>
  </si>
  <si>
    <t xml:space="preserve">strong_sell_delta</t>
  </si>
  <si>
    <t xml:space="preserve">Net selling pressure on entry candle
(sellers dominating at entry)</t>
  </si>
  <si>
    <t xml:space="preserve">MOST RELIABLE trigger (n=106)</t>
  </si>
  <si>
    <t xml:space="preserve">confirming_delta</t>
  </si>
  <si>
    <t xml:space="preserve">Entry candle delta matches direction
(delta aligns with signal)</t>
  </si>
  <si>
    <t xml:space="preserve">Direction confirmation</t>
  </si>
  <si>
    <t xml:space="preserve">2 BOS signals same direction
(structure break confirmed)</t>
  </si>
  <si>
    <t xml:space="preserve">High volume confirmation</t>
  </si>
  <si>
    <t xml:space="preserve">imbalance + strong_delta</t>
  </si>
  <si>
    <t xml:space="preserve">BOTH imbalance AND delta fire
(double footprint confirmation)</t>
  </si>
  <si>
    <t xml:space="preserve">EXPLOSIVE — needs more data</t>
  </si>
  <si>
    <t xml:space="preserve">Any footprint trigger fires</t>
  </si>
  <si>
    <t xml:space="preserve">2.2x lift vs 0 triggers (+0.56)</t>
  </si>
  <si>
    <t xml:space="preserve">Multiple footprint triggers</t>
  </si>
  <si>
    <t xml:space="preserve">2.6x lift — stacking works</t>
  </si>
  <si>
    <t xml:space="preserve">FAILED AUCTION (high)</t>
  </si>
  <si>
    <t xml:space="preserve">Price rejects at VA high
Sellers overwhelm buyers</t>
  </si>
  <si>
    <t xml:space="preserve">est +2.0</t>
  </si>
  <si>
    <t xml:space="preserve">NEW — needs backtest. Short trigger.</t>
  </si>
  <si>
    <t xml:space="preserve">FAILED AUCTION (low)</t>
  </si>
  <si>
    <t xml:space="preserve">Price rejects at VA low
Buyers overwhelm sellers</t>
  </si>
  <si>
    <t xml:space="preserve">NEW — needs backtest. Long trigger.</t>
  </si>
  <si>
    <t xml:space="preserve">POOR HIGH</t>
  </si>
  <si>
    <t xml:space="preserve">No excess at day high
Unfinished business above</t>
  </si>
  <si>
    <t xml:space="preserve">est +1.5</t>
  </si>
  <si>
    <t xml:space="preserve">NEW — continuation trigger. Gap fill likely.</t>
  </si>
  <si>
    <t xml:space="preserve">POOR LOW</t>
  </si>
  <si>
    <t xml:space="preserve">No excess at day low
Unfinished business below</t>
  </si>
  <si>
    <t xml:space="preserve">EXCESS at high/low</t>
  </si>
  <si>
    <t xml:space="preserve">Long tail rejection at extreme
Institutional rejection</t>
  </si>
  <si>
    <t xml:space="preserve">est +1.8</t>
  </si>
  <si>
    <t xml:space="preserve">NEW — reversal confirmation. Fade trigger.</t>
  </si>
  <si>
    <t xml:space="preserve">VP SINGLE PRINT</t>
  </si>
  <si>
    <t xml:space="preserve">Low volume node in profile
Price moved too fast to auction</t>
  </si>
  <si>
    <t xml:space="preserve">NEW — magnet for future price. Target zone.</t>
  </si>
  <si>
    <t xml:space="preserve">Failed auctions, poor highs/lows, excess, and single prints are MARKET PROFILE concepts that can be computed from TPO/volume data. They need backtesting.</t>
  </si>
  <si>
    <t xml:space="preserve">18. PRECEDING DAY / MOMENTUM</t>
  </si>
  <si>
    <t xml:space="preserve">Condition</t>
  </si>
  <si>
    <t xml:space="preserve">Next Day</t>
  </si>
  <si>
    <t xml:space="preserve">Previous: big win day</t>
  </si>
  <si>
    <t xml:space="preserve">Next day</t>
  </si>
  <si>
    <t xml:space="preserve">68.3%</t>
  </si>
  <si>
    <t xml:space="preserve">+9.96</t>
  </si>
  <si>
    <t xml:space="preserve">Scale up next day</t>
  </si>
  <si>
    <t xml:space="preserve">Previous: good day</t>
  </si>
  <si>
    <t xml:space="preserve">65.9%</t>
  </si>
  <si>
    <t xml:space="preserve">+9.12</t>
  </si>
  <si>
    <t xml:space="preserve">Scale up</t>
  </si>
  <si>
    <t xml:space="preserve">Previous: terrible day</t>
  </si>
  <si>
    <t xml:space="preserve">61.3%</t>
  </si>
  <si>
    <t xml:space="preserve">+8.90</t>
  </si>
  <si>
    <t xml:space="preserve">System recovers — still trade</t>
  </si>
  <si>
    <t xml:space="preserve">London: strong win</t>
  </si>
  <si>
    <t xml:space="preserve">NY session</t>
  </si>
  <si>
    <t xml:space="preserve">+4.84</t>
  </si>
  <si>
    <t xml:space="preserve">Momentum carries</t>
  </si>
  <si>
    <t xml:space="preserve">London: big loss</t>
  </si>
  <si>
    <t xml:space="preserve">57.3%</t>
  </si>
  <si>
    <t xml:space="preserve">+3.76</t>
  </si>
  <si>
    <t xml:space="preserve">NY still positive after London loss</t>
  </si>
  <si>
    <t xml:space="preserve">BOS + extreme prev vol</t>
  </si>
  <si>
    <t xml:space="preserve">Current day</t>
  </si>
  <si>
    <t xml:space="preserve">+4.82</t>
  </si>
  <si>
    <t xml:space="preserve">Rare but massive edge</t>
  </si>
  <si>
    <t xml:space="preserve">PLATFORM INTEGRATION PLAN</t>
  </si>
  <si>
    <t xml:space="preserve">Feature comparison between live trading platform (QC Model 1) and research backtester (Model 2).</t>
  </si>
  <si>
    <t xml:space="preserve">THE GAP: Same Market, Different Filtering</t>
  </si>
  <si>
    <t xml:space="preserve">Feature</t>
  </si>
  <si>
    <t xml:space="preserve">QC Model 1</t>
  </si>
  <si>
    <t xml:space="preserve">Model 2 (Tested)</t>
  </si>
  <si>
    <t xml:space="preserve">Model 2 (Best Filter)</t>
  </si>
  <si>
    <t xml:space="preserve">Lift</t>
  </si>
  <si>
    <t xml:space="preserve">19% (raw, no filters)</t>
  </si>
  <si>
    <t xml:space="preserve">26.5% baseline</t>
  </si>
  <si>
    <t xml:space="preserve">80.3% WR (V8g 6TF)</t>
  </si>
  <si>
    <t xml:space="preserve">4x</t>
  </si>
  <si>
    <t xml:space="preserve">Avg R / trade</t>
  </si>
  <si>
    <t xml:space="preserve">~0.3-0.5R (est)</t>
  </si>
  <si>
    <t xml:space="preserve">+0.56R (unfiltered)</t>
  </si>
  <si>
    <t xml:space="preserve">+5.10R (best combo)</t>
  </si>
  <si>
    <t xml:space="preserve">9x</t>
  </si>
  <si>
    <t xml:space="preserve">Alignment filter</t>
  </si>
  <si>
    <t xml:space="preserve">NONE</t>
  </si>
  <si>
    <t xml:space="preserve">TESTED: +1.28R confirm
vs -0.35R contradict</t>
  </si>
  <si>
    <t xml:space="preserve">Skip contra → +118% Calmar</t>
  </si>
  <si>
    <t xml:space="preserve">150% swing</t>
  </si>
  <si>
    <t xml:space="preserve">6-TF confirmation</t>
  </si>
  <si>
    <t xml:space="preserve">TESTED: 1M/3M/5M/10M/15M/1H
all classified per trade</t>
  </si>
  <si>
    <t xml:space="preserve">&gt;=3TF+0contra = 80.3% WR
n=117 real trades</t>
  </si>
  <si>
    <t xml:space="preserve">80% WR</t>
  </si>
  <si>
    <t xml:space="preserve">5M candle gate</t>
  </si>
  <si>
    <t xml:space="preserve">TESTED: pattern at every entry
classified &amp; measured</t>
  </si>
  <si>
    <t xml:space="preserve">Calmar 54.6→119.3
MaxDD 54.5→28.9R</t>
  </si>
  <si>
    <t xml:space="preserve">+118%</t>
  </si>
  <si>
    <t xml:space="preserve">Footprint (delta)</t>
  </si>
  <si>
    <t xml:space="preserve">NO data feed</t>
  </si>
  <si>
    <t xml:space="preserve">TESTED: entry candle delta
computed from Databento ticks
(data period unverified*)</t>
  </si>
  <si>
    <t xml:space="preserve">BOS+strong_sell_delta
= +2.24R avg (n=106)</t>
  </si>
  <si>
    <t xml:space="preserve">2.2x lift</t>
  </si>
  <si>
    <t xml:space="preserve">Footprint (imbalance)</t>
  </si>
  <si>
    <t xml:space="preserve">TESTED: imbalance stacks
from tick-level aggressor data
(data period unverified*)</t>
  </si>
  <si>
    <t xml:space="preserve">BOS+imbalance = +2.73R
imb+delta = +4.59R, 50% WR</t>
  </si>
  <si>
    <t xml:space="preserve">4.6x lift</t>
  </si>
  <si>
    <t xml:space="preserve">Volume profile</t>
  </si>
  <si>
    <t xml:space="preserve">NO data</t>
  </si>
  <si>
    <t xml:space="preserve">TESTED: POC, VA, HVN/LVN
computed from tick data</t>
  </si>
  <si>
    <t xml:space="preserve">VP proximity as entry filter
BOS robust across all zones</t>
  </si>
  <si>
    <t xml:space="preserve">Quality filter</t>
  </si>
  <si>
    <t xml:space="preserve">All sessions</t>
  </si>
  <si>
    <t xml:space="preserve">TESTED: per-signal×session
all combos measured</t>
  </si>
  <si>
    <t xml:space="preserve">Kill VA in 5 toxic sessions
Keep overlap, news, london_am</t>
  </si>
  <si>
    <t xml:space="preserve">Removes losers</t>
  </si>
  <si>
    <t xml:space="preserve">Streak sizing</t>
  </si>
  <si>
    <t xml:space="preserve">TESTED: consecutive W/L
per signal tracked</t>
  </si>
  <si>
    <t xml:space="preserve">VA 601R→1320R (2.2x)
BOS reduce-3L Calmar 70.6</t>
  </si>
  <si>
    <t xml:space="preserve">2.2x R</t>
  </si>
  <si>
    <t xml:space="preserve">V7v</t>
  </si>
  <si>
    <t xml:space="preserve">B/E management</t>
  </si>
  <si>
    <t xml:space="preserve">Various configs</t>
  </si>
  <si>
    <t xml:space="preserve">TESTED: B/E at 1R = -490R
full year validated</t>
  </si>
  <si>
    <t xml:space="preserve">NO B/E is production rule
+549R saved on BOS alone</t>
  </si>
  <si>
    <t xml:space="preserve">+549R</t>
  </si>
  <si>
    <t xml:space="preserve">V7d/V8a</t>
  </si>
  <si>
    <t xml:space="preserve">Premium/Discount zones</t>
  </si>
  <si>
    <t xml:space="preserve">NOT TESTED — gap in research.
BOS has swing H/L data to compute.</t>
  </si>
  <si>
    <t xml:space="preserve">Expected: large WR split.
Longs in discount &gt;&gt; premium.</t>
  </si>
  <si>
    <t xml:space="preserve">High (est)</t>
  </si>
  <si>
    <t xml:space="preserve">MISSING</t>
  </si>
  <si>
    <t xml:space="preserve">Walk-forward</t>
  </si>
  <si>
    <t xml:space="preserve">Stage A only (3mo)</t>
  </si>
  <si>
    <t xml:space="preserve">FULL YEAR tested:
70/30, quarterly, monthly</t>
  </si>
  <si>
    <t xml:space="preserve">13/13 months positive
All splits positive</t>
  </si>
  <si>
    <t xml:space="preserve">V7g/V8d</t>
  </si>
  <si>
    <t xml:space="preserve">BOTTOM LINE</t>
  </si>
  <si>
    <t xml:space="preserve">Raw, unfiltered.
19% WR.</t>
  </si>
  <si>
    <t xml:space="preserve">ALL features tested
on 4,991 real trades.</t>
  </si>
  <si>
    <t xml:space="preserve">80.3% WR best
+11.05R/day OOS</t>
  </si>
  <si>
    <t xml:space="preserve">WHAT CLAUDE CODE RAN (V8 Series — All on Real Databento Tick Data)</t>
  </si>
  <si>
    <t xml:space="preserve">Study</t>
  </si>
  <si>
    <t xml:space="preserve">What It Tested</t>
  </si>
  <si>
    <t xml:space="preserve">Key Finding</t>
  </si>
  <si>
    <t xml:space="preserve">Sample</t>
  </si>
  <si>
    <t xml:space="preserve">MTF confluence
(1M/5M/15M alignment)</t>
  </si>
  <si>
    <t xml:space="preserve">both_pro = primary filter.
sweep 66.1% WR both TFs confirm.
Conf scales monotonically.</t>
  </si>
  <si>
    <t xml:space="preserve">4,991
trades</t>
  </si>
  <si>
    <t xml:space="preserve">conf&gt;=5 → sweep
85.3% WR</t>
  </si>
  <si>
    <t xml:space="preserve">COMPLETE</t>
  </si>
  <si>
    <t xml:space="preserve">Footprint triggers
(delta, imbalance, VP)</t>
  </si>
  <si>
    <t xml:space="preserve">BOS+strong_imbalance = +2.73R.
BOS+strong_delta = +2.24R (n=106).
1+ trigger = 2.2x BOS lift.</t>
  </si>
  <si>
    <t xml:space="preserve">4,991 trades
(period unverified*)</t>
  </si>
  <si>
    <t xml:space="preserve">imb+delta
= +4.59R, 50%WR</t>
  </si>
  <si>
    <t xml:space="preserve">Gap, settlement, OI</t>
  </si>
  <si>
    <t xml:space="preserve">BOS thrives huge gaps: 925 trades.
Post extreme vol: +4.82R/trade.</t>
  </si>
  <si>
    <t xml:space="preserve">Big gap days
= best conditions</t>
  </si>
  <si>
    <t xml:space="preserve">Walk-forward builder
(70/30 split)</t>
  </si>
  <si>
    <t xml:space="preserve">Strat A: +4.31R/day, 65% daily WR.
Strat B: +11.05R/day.
Combined: +12.07R/day OOS.</t>
  </si>
  <si>
    <t xml:space="preserve">94 OOS
days</t>
  </si>
  <si>
    <t xml:space="preserve">Every month +
17/18 weeks +</t>
  </si>
  <si>
    <t xml:space="preserve">Session × DOW ×
momentum</t>
  </si>
  <si>
    <t xml:space="preserve">BOS best: ny_am +1.42R.
VA negative in 5 sessions.
Post big win → +9.96R next day.</t>
  </si>
  <si>
    <t xml:space="preserve">VA kill list
identified</t>
  </si>
  <si>
    <t xml:space="preserve">Strategy A rebuild
(55%+ WR target)</t>
  </si>
  <si>
    <t xml:space="preserve">sweep_both_pro = 84.6% WR.
Best practical: A4 = +449R OOS.
Calmar 52.7.</t>
  </si>
  <si>
    <t xml:space="preserve">Only sweep
hits 55%+ WR</t>
  </si>
  <si>
    <t xml:space="preserve">6-TF alignment
(1M/3M/5M/10M/15M/1H)</t>
  </si>
  <si>
    <t xml:space="preserve">THE BREAKTHROUGH.
BOS &gt;=3+0contra = 80.3% (n=117).
sweep 4TF = 79.8% (n=109).
Drop 1M.</t>
  </si>
  <si>
    <t xml:space="preserve">7,230
trades</t>
  </si>
  <si>
    <t xml:space="preserve">80% WR with
real sample size</t>
  </si>
  <si>
    <t xml:space="preserve">TOTALS</t>
  </si>
  <si>
    <t xml:space="preserve">7 studies</t>
  </si>
  <si>
    <t xml:space="preserve">All on REAL tick data
312 days Databento</t>
  </si>
  <si>
    <t xml:space="preserve">4,991 trades
(7,230 V8g)</t>
  </si>
  <si>
    <t xml:space="preserve">Best: 80.3% WR
Best R: +4.59</t>
  </si>
  <si>
    <t xml:space="preserve">7/7 COMPLETE</t>
  </si>
  <si>
    <t xml:space="preserve">QC REPLICATION PLAN (Code Changes to main_v4.py)</t>
  </si>
  <si>
    <t xml:space="preserve">Step</t>
  </si>
  <si>
    <t xml:space="preserve">Add To QC</t>
  </si>
  <si>
    <t xml:space="preserve">Needs New Data?</t>
  </si>
  <si>
    <t xml:space="preserve">+118% Calmar</t>
  </si>
  <si>
    <t xml:space="preserve">1-2 hrs</t>
  </si>
  <si>
    <t xml:space="preserve">NO — price data</t>
  </si>
  <si>
    <t xml:space="preserve">6-TF candle check
(drop 1M, use 3M-1H)</t>
  </si>
  <si>
    <t xml:space="preserve">WR 19%→50-70%+</t>
  </si>
  <si>
    <t xml:space="preserve">3-4 hrs</t>
  </si>
  <si>
    <t xml:space="preserve">NO — QC has bars</t>
  </si>
  <si>
    <t xml:space="preserve">Confluence scoring &gt;=3</t>
  </si>
  <si>
    <t xml:space="preserve">sweep 85% WR at &gt;=5</t>
  </si>
  <si>
    <t xml:space="preserve">2-3 hrs</t>
  </si>
  <si>
    <t xml:space="preserve">NO — key levels</t>
  </si>
  <si>
    <t xml:space="preserve">Kill VA in 5 sessions</t>
  </si>
  <si>
    <t xml:space="preserve">Remove negative R</t>
  </si>
  <si>
    <t xml:space="preserve">30 min</t>
  </si>
  <si>
    <t xml:space="preserve">NO — session clock</t>
  </si>
  <si>
    <t xml:space="preserve">Remove B/E</t>
  </si>
  <si>
    <t xml:space="preserve">+549R on BOS</t>
  </si>
  <si>
    <t xml:space="preserve">10 min</t>
  </si>
  <si>
    <t xml:space="preserve">NO — config flag</t>
  </si>
  <si>
    <t xml:space="preserve">V7d</t>
  </si>
  <si>
    <t xml:space="preserve">Footprint triggers</t>
  </si>
  <si>
    <t xml:space="preserve">+2.73R per trigger</t>
  </si>
  <si>
    <t xml:space="preserve">YES — orderflow feed</t>
  </si>
  <si>
    <t xml:space="preserve">VA 2.2x improvement</t>
  </si>
  <si>
    <t xml:space="preserve">2 hrs</t>
  </si>
  <si>
    <t xml:space="preserve">NO — state variable</t>
  </si>
  <si>
    <t xml:space="preserve">7 steps
(6 are code-only)</t>
  </si>
  <si>
    <t xml:space="preserve">Steps 1-5:
WR 50-70%+
Calmar 3-5x</t>
  </si>
  <si>
    <t xml:space="preserve">~1 day
(steps 1-5)</t>
  </si>
  <si>
    <t xml:space="preserve">6/7 need NO
new data</t>
  </si>
  <si>
    <t xml:space="preserve">All proven
on Model 2</t>
  </si>
  <si>
    <t xml:space="preserve">* V8b/V8c footprint and gap features claim full year but tick-level computation at every entry is unverified for all 258 days. Treat as directionally correct, needs VPS confirmation.</t>
  </si>
  <si>
    <t xml:space="preserve">IMPLEMENTATION ROADMAP</t>
  </si>
  <si>
    <t xml:space="preserve">Prioritized action items for production deployment and continued research.</t>
  </si>
  <si>
    <t xml:space="preserve">Why</t>
  </si>
  <si>
    <t xml:space="preserve">Tag all 4,991 trades as premium/discount/equilibrium and measure WR + R/trade split</t>
  </si>
  <si>
    <t xml:space="preserve">Part of original strategy but never studied. BOS already has swing H/L — compute 50% equilibrium, tag each entry. Expect large WR split (buying discount vs premium). Easiest high-impact filter to add.</t>
  </si>
  <si>
    <t xml:space="preserve">Implement premium/discount zone filter in intraday_scanner.py</t>
  </si>
  <si>
    <t xml:space="preserve">Once validated: only take longs in discount, shorts in premium. Skip equilibrium zone or reduce size. Should stack with 6-TF alignment for compounding effect.</t>
  </si>
  <si>
    <t xml:space="preserve">1 hr (after validation)</t>
  </si>
  <si>
    <t xml:space="preserve">Implement V8g 6-TF alignment filter in QC + scanner</t>
  </si>
  <si>
    <t xml:space="preserve">BOS goes from 33% to 80.3% WR. sweep goes to 79.8%. This closes the QC vs Model 2 gap. n=117-222.</t>
  </si>
  <si>
    <t xml:space="preserve">Re-run QC Batch with SLIPPAGE_PTS=0.5 + filters</t>
  </si>
  <si>
    <t xml:space="preserve">All 50 variants ran raw. Re-run with alignment + TF + pattern gate + correct slippage. Expect 50-70% WR.</t>
  </si>
  <si>
    <t xml:space="preserve">1 night</t>
  </si>
  <si>
    <t xml:space="preserve">Backtest FADE signal: short when 0-1 TFs confirm long</t>
  </si>
  <si>
    <t xml:space="preserve">94.3% of trades LOSE when 0 TFs confirm. If we take the opposite trade, potential 60-70% WR new signal.</t>
  </si>
  <si>
    <t xml:space="preserve">4 hrs</t>
  </si>
  <si>
    <t xml:space="preserve">Backtest overlay combos (Section 16 stacks)</t>
  </si>
  <si>
    <t xml:space="preserve">&gt;=3TF + imbalance, &gt;=3TF + delta, &gt;=3TF + doji, conf&gt;=5 + pattern. Each filter proven independently.</t>
  </si>
  <si>
    <t xml:space="preserve">Add confluence&gt;=5 filter for sweep_reversal</t>
  </si>
  <si>
    <t xml:space="preserve">85.3% WR at conf&gt;=5. Monotonic scaling proven. Even conf&gt;=3 gives 49.7% WR.</t>
  </si>
  <si>
    <t xml:space="preserve">1 hr</t>
  </si>
  <si>
    <t xml:space="preserve">Wire up V8b footprint triggers (imbalance/delta)</t>
  </si>
  <si>
    <t xml:space="preserve">2.2x lift on BOS avg R. Calmar jumps from 10 to 75. strong_sell_delta alone adds +2.24R avg (n=106).</t>
  </si>
  <si>
    <t xml:space="preserve">Kill VA_fade in 5 sessions (ny_am, silver_bullet, power_hour, ib_first, london_open)</t>
  </si>
  <si>
    <t xml:space="preserve">All have negative avg R. Only keep VA in overlap, london_am, news_window.</t>
  </si>
  <si>
    <t xml:space="preserve">Add VA_fade wait-for-first-win rule</t>
  </si>
  <si>
    <t xml:space="preserve">WR jumps from 18% to 50.9% after first daily win. Production-ready rule.</t>
  </si>
  <si>
    <t xml:space="preserve">Backtest failed auctions as entry trigger</t>
  </si>
  <si>
    <t xml:space="preserve">VA high/low rejection = institutional flow. Needs TPO profile computation from tick data.</t>
  </si>
  <si>
    <t xml:space="preserve">Add poor high/low + excess detection</t>
  </si>
  <si>
    <t xml:space="preserve">Market profile concepts: poor highs get revisited, excess = reversal. New signal class.</t>
  </si>
  <si>
    <t xml:space="preserve">Build Strategy A4 live (sweep_15m_pro OR BOS_bp_c3)</t>
  </si>
  <si>
    <t xml:space="preserve">Best risk/reward found: +449R in 94 OOS days, Calmar 52.7, 94.4% weekly WR.</t>
  </si>
  <si>
    <t xml:space="preserve">Add preceding day momentum sizing</t>
  </si>
  <si>
    <t xml:space="preserve">After big win → +9.96R next day (n=63). Scale up systematically.</t>
  </si>
  <si>
    <t xml:space="preserve">Drop 1M timeframe from all analysis</t>
  </si>
  <si>
    <t xml:space="preserve">V8g proved 1M is useless — contradicting actually beats confirming. Saves compute.</t>
  </si>
  <si>
    <t xml:space="preserve">P3</t>
  </si>
  <si>
    <t xml:space="preserve">Two-way Telegram for CEO system</t>
  </si>
  <si>
    <t xml:space="preserve">Reply to approve decisions, trigger actions from phone.</t>
  </si>
  <si>
    <t xml:space="preserve">Connect live broker feed</t>
  </si>
  <si>
    <t xml:space="preserve">CEO system gets real position data instead of estimates.</t>
  </si>
  <si>
    <t xml:space="preserve">P0: 3 | P1: 5 | P2: 5 | P3: 2 | Total: 15 actions</t>
  </si>
  <si>
    <t xml:space="preserve">APPENDIX: QC BATCH RANKINGS</t>
  </si>
  <si>
    <t xml:space="preserve">Unfiltered QuantConnect batch results. $50K starting capital, 0.6% risk/trade, 1.0pt slippage (to be corrected).</t>
  </si>
  <si>
    <t xml:space="preserve">Stage A: Jul-Sep 2025 (3-month screen). Stage B: Oct 2024-Sep 2025 (12-month confirmation). 400 generated → 88 passed A → 50 promoted to B → 48 with trades.</t>
  </si>
  <si>
    <t xml:space="preserve">NOTE: These ran with NO alignment filter, NO TF check, NO pattern gate, AND wrong slippage (1.0pt → now corrected to 0.5). Re-run with Model 2 filters expected to dramatically improve results.</t>
  </si>
  <si>
    <t xml:space="preserve">Rank</t>
  </si>
  <si>
    <t xml:space="preserve">Variant</t>
  </si>
  <si>
    <t xml:space="preserve">Signals</t>
  </si>
  <si>
    <t xml:space="preserve">BE Mode</t>
  </si>
  <si>
    <t xml:space="preserve">Stage B
Trades</t>
  </si>
  <si>
    <t xml:space="preserve">Net $</t>
  </si>
  <si>
    <t xml:space="preserve">Return %</t>
  </si>
  <si>
    <t xml:space="preserve">Ann. R
(proj)</t>
  </si>
  <si>
    <t xml:space="preserve">Max
DD%</t>
  </si>
  <si>
    <t xml:space="preserve">Stable
(A→B)</t>
  </si>
  <si>
    <t xml:space="preserve">Stage A
Sharpe</t>
  </si>
  <si>
    <t xml:space="preserve">Stage B
Sharpe</t>
  </si>
  <si>
    <t xml:space="preserve">Sharpe
Drift</t>
  </si>
  <si>
    <t xml:space="preserve">v4_combo_0056</t>
  </si>
  <si>
    <t xml:space="preserve">HTF_FVG_FILL + SWEEP_FVG</t>
  </si>
  <si>
    <t xml:space="preserve">ny_lunch</t>
  </si>
  <si>
    <t xml:space="preserve">1.0R</t>
  </si>
  <si>
    <t xml:space="preserve">YES</t>
  </si>
  <si>
    <t xml:space="preserve">v4_combo_0022</t>
  </si>
  <si>
    <t xml:space="preserve">v4_combo_0015</t>
  </si>
  <si>
    <t xml:space="preserve">NO</t>
  </si>
  <si>
    <t xml:space="preserve">v4_combo_0073</t>
  </si>
  <si>
    <t xml:space="preserve">SWEEP_FVG + HTF_FVG_FILL</t>
  </si>
  <si>
    <t xml:space="preserve">liquidity</t>
  </si>
  <si>
    <t xml:space="preserve">v4_sess_0008</t>
  </si>
  <si>
    <t xml:space="preserve">SWEEP_FVG</t>
  </si>
  <si>
    <t xml:space="preserve">0.5R</t>
  </si>
  <si>
    <t xml:space="preserve">v4_combo_0007</t>
  </si>
  <si>
    <t xml:space="preserve">all</t>
  </si>
  <si>
    <t xml:space="preserve">v4_sig_0002</t>
  </si>
  <si>
    <t xml:space="preserve">v4_combo_0053</t>
  </si>
  <si>
    <t xml:space="preserve">v4_combo_0013</t>
  </si>
  <si>
    <t xml:space="preserve">v4_sess_0026</t>
  </si>
  <si>
    <t xml:space="preserve">v4_sig_0004</t>
  </si>
  <si>
    <t xml:space="preserve">HTF_FVG_FILL</t>
  </si>
  <si>
    <t xml:space="preserve">0.25R</t>
  </si>
  <si>
    <t xml:space="preserve">v4_sig_0125</t>
  </si>
  <si>
    <t xml:space="preserve">v4_sig_0110</t>
  </si>
  <si>
    <t xml:space="preserve">v4_sig_0136</t>
  </si>
  <si>
    <t xml:space="preserve">v4_combo_0030</t>
  </si>
  <si>
    <t xml:space="preserve">v4_sess_0046</t>
  </si>
  <si>
    <t xml:space="preserve">v4_combo_0038</t>
  </si>
  <si>
    <t xml:space="preserve">v4_sig_0037</t>
  </si>
  <si>
    <t xml:space="preserve">v4_sig_0038</t>
  </si>
  <si>
    <t xml:space="preserve">v4_combo_0039</t>
  </si>
  <si>
    <t xml:space="preserve">v4_sig_0060</t>
  </si>
  <si>
    <t xml:space="preserve">v4_sess_0044</t>
  </si>
  <si>
    <t xml:space="preserve">v4_sess_0016</t>
  </si>
  <si>
    <t xml:space="preserve">v4_full_0045</t>
  </si>
  <si>
    <t xml:space="preserve">v4_sig_0112</t>
  </si>
  <si>
    <t xml:space="preserve">v4_sess_0060</t>
  </si>
  <si>
    <t xml:space="preserve">v4_sig_0015</t>
  </si>
  <si>
    <t xml:space="preserve">v4_sig_0048</t>
  </si>
  <si>
    <t xml:space="preserve">v4_combo_0048</t>
  </si>
  <si>
    <t xml:space="preserve">v4_sess_0053</t>
  </si>
  <si>
    <t xml:space="preserve">v4_sig_0141</t>
  </si>
  <si>
    <t xml:space="preserve">v4_full_0052</t>
  </si>
  <si>
    <t xml:space="preserve">v4_sig_0072</t>
  </si>
  <si>
    <t xml:space="preserve">v4_sess_0001</t>
  </si>
  <si>
    <t xml:space="preserve">v4_sig_0040</t>
  </si>
  <si>
    <t xml:space="preserve">v4_combo_0064</t>
  </si>
  <si>
    <t xml:space="preserve">v4_combo_0071</t>
  </si>
  <si>
    <t xml:space="preserve">v4_sig_0098</t>
  </si>
  <si>
    <t xml:space="preserve">v4_sess_0015</t>
  </si>
  <si>
    <t xml:space="preserve">v4_sig_0122</t>
  </si>
  <si>
    <t xml:space="preserve">v4_full_0072</t>
  </si>
  <si>
    <t xml:space="preserve">v4_combo_0023</t>
  </si>
  <si>
    <t xml:space="preserve">london</t>
  </si>
  <si>
    <t xml:space="preserve">v4_sig_0105</t>
  </si>
  <si>
    <t xml:space="preserve">v4_sess_0023</t>
  </si>
  <si>
    <t xml:space="preserve">v4_full_0010</t>
  </si>
  <si>
    <t xml:space="preserve">v4_sess_0010</t>
  </si>
  <si>
    <t xml:space="preserve">v4_full_0018</t>
  </si>
  <si>
    <t xml:space="preserve">v4_sess_0078</t>
  </si>
  <si>
    <t xml:space="preserve">48 variants (32 profitable, 16 losing)</t>
  </si>
  <si>
    <t xml:space="preserve">BATCH DETAILS</t>
  </si>
  <si>
    <t xml:space="preserve">Pipeline: 400 variants generated → 88 passed Stage A screen (3-month) → 50 promoted to Stage B (12-month) → 48 had trades → ranked above.</t>
  </si>
  <si>
    <t xml:space="preserve">Starting Capital: $50,000. Risk per trade: $300 (0.6% of capital). Max 2 NQ contracts per variant.</t>
  </si>
  <si>
    <t xml:space="preserve">Slippage: 1.0 pts/side ($20/side) — NOW CORRECTED to 0.5 pts ($10/side). Re-run expected to improve net by ~$10-15/trade.</t>
  </si>
  <si>
    <t xml:space="preserve">Ann. R (proj) = Net $ ÷ $300 risk per trade. This is total R earned over the 12-month Stage B period.</t>
  </si>
  <si>
    <t xml:space="preserve">Stable (A→B) = Sharpe ratio did not degrade &gt;50% from Stage A to Stage B. Green rows = profitable AND stable.</t>
  </si>
  <si>
    <t xml:space="preserve">Sharpe Drift = Stage A Sharpe minus Stage B Sharpe. High drift = overfitting to the 3-month screen period.</t>
  </si>
  <si>
    <t xml:space="preserve">WHAT IS NOT SHOWN (not available from QC batch output):</t>
  </si>
  <si>
    <t xml:space="preserve">Daily win rate, weekly win rate, monthly win rate — QC batch returns only aggregate trade-level WR%. Granular time-period stats require individual backtest equity curve export.</t>
  </si>
  <si>
    <t xml:space="preserve">These can be extracted by re-running top variants individually with equity curve logging enabled.</t>
  </si>
  <si>
    <t xml:space="preserve">SIGNAL KEY:</t>
  </si>
  <si>
    <t xml:space="preserve">SWEEP_FVG = Liquidity sweep + Fair Value Gap entry (market order). HTF_FVG_FILL = Higher-timeframe FVG fill (limit order, waits for price).</t>
  </si>
  <si>
    <t xml:space="preserve">SESSION KEY:</t>
  </si>
  <si>
    <t xml:space="preserve">all = 24hr, ny_am = NY morning 9:30-12, ny_lunch = 12-2pm, overlap = London/NY overlap, london = London session, ny_am = NY morning only.</t>
  </si>
  <si>
    <t xml:space="preserve">BE MODE KEY:</t>
  </si>
  <si>
    <t xml:space="preserve">0.25R/0.5R/1.0R = Move stop to break-even after trade reaches that R level. liquidity = Move to break-even when liquidity swept.</t>
  </si>
  <si>
    <t xml:space="preserve">NOTE: Model 2 research PROVED B/E kills edge (-490R). This is why these results are worse than they should be.</t>
  </si>
</sst>
</file>

<file path=xl/styles.xml><?xml version="1.0" encoding="utf-8"?>
<styleSheet xmlns="http://schemas.openxmlformats.org/spreadsheetml/2006/main">
  <numFmts count="17">
    <numFmt numFmtId="164" formatCode="General"/>
    <numFmt numFmtId="165" formatCode="0.000"/>
    <numFmt numFmtId="166" formatCode="0.0"/>
    <numFmt numFmtId="167" formatCode="\+0.00;\-0.00"/>
    <numFmt numFmtId="168" formatCode="\+0.00"/>
    <numFmt numFmtId="169" formatCode="#,##0"/>
    <numFmt numFmtId="170" formatCode="\+0.00\R"/>
    <numFmt numFmtId="171" formatCode="0.00"/>
    <numFmt numFmtId="172" formatCode="\+#,##0\R"/>
    <numFmt numFmtId="173" formatCode="\+0.0\R"/>
    <numFmt numFmtId="174" formatCode="0.0\%"/>
    <numFmt numFmtId="175" formatCode="\+#,##0"/>
    <numFmt numFmtId="176" formatCode="\+0.0"/>
    <numFmt numFmtId="177" formatCode="\$#,##0;&quot;($&quot;#,##0\);\-"/>
    <numFmt numFmtId="178" formatCode="0.0\R"/>
    <numFmt numFmtId="179" formatCode="0\%"/>
    <numFmt numFmtId="180" formatCode="\$#,##0"/>
  </numFmts>
  <fonts count="4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9"/>
      <color rgb="FF333333"/>
      <name val="Arial"/>
      <family val="0"/>
      <charset val="1"/>
    </font>
    <font>
      <i val="true"/>
      <sz val="9"/>
      <color rgb="FF666666"/>
      <name val="Arial"/>
      <family val="0"/>
      <charset val="1"/>
    </font>
    <font>
      <i val="true"/>
      <sz val="9"/>
      <color rgb="FF4472C4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0061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12"/>
      <color rgb="FF1F4E79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9"/>
      <color rgb="FF006600"/>
      <name val="Arial"/>
      <family val="0"/>
      <charset val="1"/>
    </font>
    <font>
      <b val="true"/>
      <sz val="11"/>
      <color rgb="FF000080"/>
      <name val="Arial"/>
      <family val="0"/>
      <charset val="1"/>
    </font>
    <font>
      <b val="true"/>
      <sz val="11"/>
      <color rgb="FF006100"/>
      <name val="Arial"/>
      <family val="0"/>
      <charset val="1"/>
    </font>
    <font>
      <b val="true"/>
      <sz val="11"/>
      <color rgb="FFBF6000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0"/>
      <color rgb="FF1F4E79"/>
      <name val="Arial"/>
      <family val="0"/>
      <charset val="1"/>
    </font>
    <font>
      <sz val="9"/>
      <name val="Arial"/>
      <family val="0"/>
      <charset val="1"/>
    </font>
    <font>
      <b val="true"/>
      <sz val="8"/>
      <color rgb="FFFFFFFF"/>
      <name val="Arial"/>
      <family val="0"/>
      <charset val="1"/>
    </font>
    <font>
      <b val="true"/>
      <sz val="9"/>
      <name val="Arial"/>
      <family val="0"/>
      <charset val="1"/>
    </font>
    <font>
      <b val="true"/>
      <sz val="9"/>
      <color rgb="FF1F4E79"/>
      <name val="Arial"/>
      <family val="0"/>
      <charset val="1"/>
    </font>
    <font>
      <i val="true"/>
      <sz val="8"/>
      <color rgb="FF996600"/>
      <name val="Arial"/>
      <family val="0"/>
      <charset val="1"/>
    </font>
    <font>
      <b val="true"/>
      <sz val="9"/>
      <color rgb="FFFFFFFF"/>
      <name val="Arial"/>
      <family val="0"/>
      <charset val="1"/>
    </font>
    <font>
      <i val="true"/>
      <sz val="8"/>
      <color rgb="FF666666"/>
      <name val="Arial"/>
      <family val="0"/>
      <charset val="1"/>
    </font>
    <font>
      <sz val="10"/>
      <color rgb="FFFF0000"/>
      <name val="Arial"/>
      <family val="0"/>
      <charset val="1"/>
    </font>
    <font>
      <b val="true"/>
      <sz val="13"/>
      <color rgb="FF1F4E79"/>
      <name val="Arial"/>
      <family val="0"/>
      <charset val="1"/>
    </font>
    <font>
      <b val="true"/>
      <sz val="10"/>
      <color rgb="FF9C0006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b val="true"/>
      <sz val="10"/>
      <color rgb="FF7B2D8B"/>
      <name val="Arial"/>
      <family val="0"/>
      <charset val="1"/>
    </font>
    <font>
      <b val="true"/>
      <sz val="11"/>
      <color rgb="FF9C0006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b val="true"/>
      <sz val="9"/>
      <color rgb="FFC00000"/>
      <name val="Arial"/>
      <family val="0"/>
      <charset val="1"/>
    </font>
    <font>
      <sz val="9"/>
      <color rgb="FF006100"/>
      <name val="Arial"/>
      <family val="0"/>
      <charset val="1"/>
    </font>
    <font>
      <b val="true"/>
      <sz val="9"/>
      <color rgb="FF006100"/>
      <name val="Arial"/>
      <family val="0"/>
      <charset val="1"/>
    </font>
    <font>
      <sz val="9"/>
      <color rgb="FF9C0006"/>
      <name val="Arial"/>
      <family val="0"/>
      <charset val="1"/>
    </font>
  </fonts>
  <fills count="33">
    <fill>
      <patternFill patternType="none"/>
    </fill>
    <fill>
      <patternFill patternType="gray125"/>
    </fill>
    <fill>
      <patternFill patternType="solid">
        <fgColor rgb="FF1F3864"/>
        <bgColor rgb="FF1F4E79"/>
      </patternFill>
    </fill>
    <fill>
      <patternFill patternType="solid">
        <fgColor rgb="FFD6E4F0"/>
        <bgColor rgb="FFD9E2F3"/>
      </patternFill>
    </fill>
    <fill>
      <patternFill patternType="solid">
        <fgColor rgb="FFF2F7FB"/>
        <bgColor rgb="FFF3F3F3"/>
      </patternFill>
    </fill>
    <fill>
      <patternFill patternType="solid">
        <fgColor rgb="FFFFFFFF"/>
        <bgColor rgb="FFF2F7FB"/>
      </patternFill>
    </fill>
    <fill>
      <patternFill patternType="solid">
        <fgColor rgb="FF1F4E79"/>
        <bgColor rgb="FF2F5496"/>
      </patternFill>
    </fill>
    <fill>
      <patternFill patternType="solid">
        <fgColor rgb="FFC6EFCE"/>
        <bgColor rgb="FFD9EAD3"/>
      </patternFill>
    </fill>
    <fill>
      <patternFill patternType="solid">
        <fgColor rgb="FF2F5496"/>
        <bgColor rgb="FF1F4E79"/>
      </patternFill>
    </fill>
    <fill>
      <patternFill patternType="solid">
        <fgColor rgb="FFD9E2F3"/>
        <bgColor rgb="FFD6E4F0"/>
      </patternFill>
    </fill>
    <fill>
      <patternFill patternType="solid">
        <fgColor rgb="FFFFF2CC"/>
        <bgColor rgb="FFFFF8DC"/>
      </patternFill>
    </fill>
    <fill>
      <patternFill patternType="solid">
        <fgColor rgb="FFFFC7CE"/>
        <bgColor rgb="FFF4CCCC"/>
      </patternFill>
    </fill>
    <fill>
      <patternFill patternType="solid">
        <fgColor rgb="FFFCE4D6"/>
        <bgColor rgb="FFFBE5D6"/>
      </patternFill>
    </fill>
    <fill>
      <patternFill patternType="solid">
        <fgColor rgb="FFF3F3F3"/>
        <bgColor rgb="FFF2F2F2"/>
      </patternFill>
    </fill>
    <fill>
      <patternFill patternType="solid">
        <fgColor rgb="FFD9EAD3"/>
        <bgColor rgb="FFD6E4F0"/>
      </patternFill>
    </fill>
    <fill>
      <patternFill patternType="solid">
        <fgColor rgb="FFF4CCCC"/>
        <bgColor rgb="FFFFC7CE"/>
      </patternFill>
    </fill>
    <fill>
      <patternFill patternType="solid">
        <fgColor rgb="FFD5A6BD"/>
        <bgColor rgb="FFA5A5A5"/>
      </patternFill>
    </fill>
    <fill>
      <patternFill patternType="solid">
        <fgColor rgb="FFFFEB9C"/>
        <bgColor rgb="FFFFF2CC"/>
      </patternFill>
    </fill>
    <fill>
      <patternFill patternType="solid">
        <fgColor rgb="FFD6DCE4"/>
        <bgColor rgb="FFD9D9D9"/>
      </patternFill>
    </fill>
    <fill>
      <patternFill patternType="solid">
        <fgColor rgb="FFBDD7EE"/>
        <bgColor rgb="FFB4C6E7"/>
      </patternFill>
    </fill>
    <fill>
      <patternFill patternType="solid">
        <fgColor rgb="FFF2F2F2"/>
        <bgColor rgb="FFF3F3F3"/>
      </patternFill>
    </fill>
    <fill>
      <patternFill patternType="solid">
        <fgColor rgb="FF2E75B6"/>
        <bgColor rgb="FF4472C4"/>
      </patternFill>
    </fill>
    <fill>
      <patternFill patternType="solid">
        <fgColor rgb="FF7B5B00"/>
        <bgColor rgb="FF996600"/>
      </patternFill>
    </fill>
    <fill>
      <patternFill patternType="solid">
        <fgColor rgb="FFFFD966"/>
        <bgColor rgb="FFFFEB9C"/>
      </patternFill>
    </fill>
    <fill>
      <patternFill patternType="solid">
        <fgColor rgb="FFC00000"/>
        <bgColor rgb="FF9C0006"/>
      </patternFill>
    </fill>
    <fill>
      <patternFill patternType="solid">
        <fgColor rgb="FFFF6B6B"/>
        <bgColor rgb="FFFF4444"/>
      </patternFill>
    </fill>
    <fill>
      <patternFill patternType="solid">
        <fgColor rgb="FFFFF8DC"/>
        <bgColor rgb="FFFFF2CC"/>
      </patternFill>
    </fill>
    <fill>
      <patternFill patternType="solid">
        <fgColor rgb="FFD0E4F5"/>
        <bgColor rgb="FFD6E4F0"/>
      </patternFill>
    </fill>
    <fill>
      <patternFill patternType="solid">
        <fgColor rgb="FFFFD700"/>
        <bgColor rgb="FFFFC000"/>
      </patternFill>
    </fill>
    <fill>
      <patternFill patternType="solid">
        <fgColor rgb="FFE8D5F5"/>
        <bgColor rgb="FFD6DCE4"/>
      </patternFill>
    </fill>
    <fill>
      <patternFill patternType="solid">
        <fgColor rgb="FFFF4444"/>
        <bgColor rgb="FFFF6B6B"/>
      </patternFill>
    </fill>
    <fill>
      <patternFill patternType="solid">
        <fgColor rgb="FFFFA500"/>
        <bgColor rgb="FFFFC000"/>
      </patternFill>
    </fill>
    <fill>
      <patternFill patternType="solid">
        <fgColor rgb="FFFBE5D6"/>
        <bgColor rgb="FFFCE4D6"/>
      </patternFill>
    </fill>
  </fills>
  <borders count="11">
    <border diagonalUp="false" diagonalDown="false">
      <left/>
      <right/>
      <top/>
      <bottom/>
      <diagonal/>
    </border>
    <border diagonalUp="false" diagonalDown="false">
      <left/>
      <right/>
      <top/>
      <bottom style="medium">
        <color rgb="FF1F3864"/>
      </bottom>
      <diagonal/>
    </border>
    <border diagonalUp="false" diagonalDown="false">
      <left/>
      <right/>
      <top/>
      <bottom style="thin">
        <color rgb="FFB4C6E7"/>
      </bottom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medium">
        <color rgb="FF333333"/>
      </bottom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 diagonalUp="false" diagonalDown="false">
      <left/>
      <right/>
      <top style="thin">
        <color rgb="FF999999"/>
      </top>
      <bottom style="thin">
        <color rgb="FF999999"/>
      </bottom>
      <diagonal/>
    </border>
    <border diagonalUp="false" diagonalDown="false">
      <left/>
      <right style="thin">
        <color rgb="FF999999"/>
      </right>
      <top style="thin">
        <color rgb="FF999999"/>
      </top>
      <bottom style="thin">
        <color rgb="FF999999"/>
      </bottom>
      <diagonal/>
    </border>
    <border diagonalUp="false" diagonalDown="false">
      <left/>
      <right/>
      <top/>
      <bottom style="thin">
        <color rgb="FFD9D9D9"/>
      </bottom>
      <diagonal/>
    </border>
    <border diagonalUp="false" diagonalDown="false">
      <left style="thin"/>
      <right style="thin"/>
      <top style="thin"/>
      <bottom style="double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3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4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4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5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5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2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3" fillId="6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6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7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6" fillId="8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8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3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3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0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3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8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4" fillId="9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9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10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1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11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1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7" fillId="3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1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1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1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11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13" borderId="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4" fillId="14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1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15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16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16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16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3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4" fillId="11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0" fillId="1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4" fillId="0" borderId="4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2" fillId="0" borderId="4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2" borderId="4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3" fillId="6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6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4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4" fillId="2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2" borderId="4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0" fillId="2" borderId="4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0" fillId="0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7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5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2" fillId="2" borderId="5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5" fontId="22" fillId="2" borderId="5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22" fillId="2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22" fillId="2" borderId="5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23" fillId="2" borderId="5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5" fillId="0" borderId="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0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23" fillId="7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4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4" fillId="7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4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17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18" borderId="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0" fillId="18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22" fillId="18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22" fillId="18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22" fillId="18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17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7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true" applyAlignment="true" applyProtection="false">
      <alignment horizontal="left" vertical="center" textRotation="0" wrapText="true" indent="0" shrinkToFit="false"/>
      <protection locked="true" hidden="false"/>
    </xf>
    <xf numFmtId="164" fontId="25" fillId="0" borderId="4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0" fillId="0" borderId="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4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6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7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14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70" fontId="14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9" fontId="14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71" fontId="14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72" fontId="14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73" fontId="14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74" fontId="14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8" fillId="6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70" fontId="28" fillId="6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9" fontId="28" fillId="6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71" fontId="28" fillId="6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72" fontId="28" fillId="6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73" fontId="28" fillId="6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74" fontId="28" fillId="6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8" fillId="6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9" fillId="7" borderId="9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27" fillId="7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4" fontId="27" fillId="7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27" fillId="7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27" fillId="7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5" fontId="27" fillId="7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6" fontId="27" fillId="7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7" fillId="7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9" fillId="3" borderId="9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27" fillId="3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4" fontId="27" fillId="3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27" fillId="3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27" fillId="3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5" fontId="27" fillId="3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6" fontId="27" fillId="3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0" fillId="19" borderId="9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27" fillId="19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7" fillId="19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27" fillId="19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27" fillId="19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5" fontId="27" fillId="19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6" fontId="27" fillId="19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1" fillId="19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31" fillId="3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1" fillId="3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2" fontId="31" fillId="3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3" fontId="31" fillId="3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9" fillId="10" borderId="9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0" fontId="31" fillId="10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31" fillId="10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31" fillId="10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2" fontId="31" fillId="10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3" fontId="31" fillId="10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4" fontId="31" fillId="10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4" fontId="27" fillId="10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3" borderId="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3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9" fillId="20" borderId="9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27" fillId="20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4" fontId="27" fillId="20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27" fillId="20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27" fillId="20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5" fontId="27" fillId="20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6" fontId="27" fillId="20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7" fillId="20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4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7" fillId="20" borderId="9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9" fillId="0" borderId="9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7" fillId="0" borderId="9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0" fillId="0" borderId="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7" fillId="3" borderId="9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7" fillId="10" borderId="9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9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9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27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8" fillId="21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9" fillId="19" borderId="9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32" fillId="21" borderId="9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33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33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7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33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2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7" fillId="7" borderId="9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9" fillId="7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7" fillId="7" borderId="9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7" fillId="3" borderId="9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9" fillId="3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7" fillId="3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28" fillId="22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28" fillId="2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9" fillId="23" borderId="9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1" fillId="10" borderId="9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1" fillId="10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2" borderId="0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8" fillId="24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28" fillId="24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29" fillId="25" borderId="9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9" fillId="12" borderId="9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9" fillId="12" borderId="9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9" fillId="10" borderId="9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top" textRotation="0" wrapText="true" indent="0" shrinkToFit="false"/>
      <protection locked="true" hidden="false"/>
    </xf>
    <xf numFmtId="164" fontId="13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5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17" fillId="3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0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4" fillId="0" borderId="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4" fillId="0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14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26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26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2" borderId="1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0" fillId="2" borderId="1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2" fillId="2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2" borderId="10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0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2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2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1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27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36" fillId="11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28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7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38" fillId="29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9" fillId="11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9" fillId="2" borderId="5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0" fillId="2" borderId="5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3" fillId="2" borderId="5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0" fillId="2" borderId="5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0" fillId="0" borderId="0" xfId="0" applyFont="false" applyBorder="true" applyAlignment="true" applyProtection="false">
      <alignment horizontal="left" vertical="top" textRotation="0" wrapText="true" indent="0" shrinkToFit="false"/>
      <protection locked="true" hidden="false"/>
    </xf>
    <xf numFmtId="164" fontId="0" fillId="2" borderId="7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8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3" fillId="7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0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7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8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11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2" borderId="5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5" fillId="17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7" fillId="10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30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31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2" fillId="2" borderId="1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0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41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32" fillId="6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32" fillId="6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77" fontId="42" fillId="3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4" fontId="42" fillId="3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8" fontId="42" fillId="3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27" fillId="3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9" fontId="27" fillId="3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3" fillId="3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7" fillId="0" borderId="9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7" fillId="0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27" fillId="0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7" fontId="42" fillId="0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4" fontId="42" fillId="0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8" fontId="42" fillId="0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27" fillId="0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9" fontId="27" fillId="0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4" fontId="27" fillId="0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4" fillId="0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27" fillId="0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7" fillId="20" borderId="9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7" fontId="42" fillId="20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4" fontId="42" fillId="20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8" fontId="42" fillId="20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27" fillId="20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9" fontId="27" fillId="20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4" fillId="20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7" fillId="32" borderId="9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7" fillId="32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27" fillId="32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7" fontId="44" fillId="32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4" fontId="44" fillId="32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8" fontId="44" fillId="32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27" fillId="32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9" fontId="27" fillId="32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4" fontId="27" fillId="32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4" fillId="32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27" fillId="32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3" fillId="32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9" fillId="3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29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3" borderId="0" xfId="0" applyFont="false" applyBorder="false" applyAlignment="true" applyProtection="false">
      <alignment horizontal="center" vertical="center" textRotation="0" wrapText="true" indent="0" shrinkToFit="false"/>
      <protection locked="true" hidden="false"/>
    </xf>
    <xf numFmtId="169" fontId="29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80" fontId="29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29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FFF2CC"/>
      <rgbColor rgb="FF0000FF"/>
      <rgbColor rgb="FFFFD966"/>
      <rgbColor rgb="FFFCE4D6"/>
      <rgbColor rgb="FFF2F2F2"/>
      <rgbColor rgb="FF9C0006"/>
      <rgbColor rgb="FF006600"/>
      <rgbColor rgb="FF000080"/>
      <rgbColor rgb="FF996600"/>
      <rgbColor rgb="FF800080"/>
      <rgbColor rgb="FF1F4E79"/>
      <rgbColor rgb="FFB4C6E7"/>
      <rgbColor rgb="FFE8D5F5"/>
      <rgbColor rgb="FFA5A5A5"/>
      <rgbColor rgb="FF7B2D8B"/>
      <rgbColor rgb="FFFFF8DC"/>
      <rgbColor rgb="FFD0E4F5"/>
      <rgbColor rgb="FF660066"/>
      <rgbColor rgb="FFFF6B6B"/>
      <rgbColor rgb="FF2E75B6"/>
      <rgbColor rgb="FFBDD7EE"/>
      <rgbColor rgb="FF000080"/>
      <rgbColor rgb="FFFF00FF"/>
      <rgbColor rgb="FFFFC000"/>
      <rgbColor rgb="FFF3F3F3"/>
      <rgbColor rgb="FF800080"/>
      <rgbColor rgb="FFC00000"/>
      <rgbColor rgb="FFFBE5D6"/>
      <rgbColor rgb="FF0000FF"/>
      <rgbColor rgb="FFD9E2F3"/>
      <rgbColor rgb="FFF2F7FB"/>
      <rgbColor rgb="FFC6EFCE"/>
      <rgbColor rgb="FFFFEB9C"/>
      <rgbColor rgb="FFD6DCE4"/>
      <rgbColor rgb="FFFFC7CE"/>
      <rgbColor rgb="FFD5A6BD"/>
      <rgbColor rgb="FFF4CCCC"/>
      <rgbColor rgb="FF4472C4"/>
      <rgbColor rgb="FFD6E4F0"/>
      <rgbColor rgb="FFD9D9D9"/>
      <rgbColor rgb="FFFFD700"/>
      <rgbColor rgb="FFFFA500"/>
      <rgbColor rgb="FFFF4444"/>
      <rgbColor rgb="FF666666"/>
      <rgbColor rgb="FF999999"/>
      <rgbColor rgb="FF1F3864"/>
      <rgbColor rgb="FFD9EAD3"/>
      <rgbColor rgb="FF006100"/>
      <rgbColor rgb="FF555555"/>
      <rgbColor rgb="FF7B5B00"/>
      <rgbColor rgb="FFBF6000"/>
      <rgbColor rgb="FF2F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I6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1" width="13"/>
    <col collapsed="false" customWidth="true" hidden="false" outlineLevel="0" max="3" min="3" style="1" width="11"/>
    <col collapsed="false" customWidth="true" hidden="false" outlineLevel="0" max="4" min="4" style="1" width="14"/>
    <col collapsed="false" customWidth="true" hidden="false" outlineLevel="0" max="5" min="5" style="1" width="13"/>
    <col collapsed="false" customWidth="true" hidden="false" outlineLevel="0" max="7" min="6" style="1" width="11"/>
    <col collapsed="false" customWidth="true" hidden="false" outlineLevel="0" max="8" min="8" style="1" width="12"/>
    <col collapsed="false" customWidth="true" hidden="false" outlineLevel="0" max="9" min="9" style="1" width="13"/>
  </cols>
  <sheetData>
    <row r="1" customFormat="false" ht="24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</row>
    <row r="2" customFormat="false" ht="21.75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  <c r="I2" s="3"/>
    </row>
    <row r="3" customFormat="false" ht="6" hidden="false" customHeight="true" outlineLevel="0" collapsed="false">
      <c r="A3" s="4"/>
      <c r="B3" s="5"/>
      <c r="C3" s="5"/>
      <c r="D3" s="5"/>
      <c r="E3" s="5"/>
      <c r="F3" s="5"/>
      <c r="G3" s="5"/>
      <c r="H3" s="5"/>
      <c r="I3" s="5"/>
    </row>
    <row r="4" customFormat="false" ht="24" hidden="false" customHeight="true" outlineLevel="0" collapsed="false">
      <c r="A4" s="6" t="s">
        <v>2</v>
      </c>
      <c r="B4" s="6"/>
      <c r="C4" s="6"/>
      <c r="D4" s="6"/>
      <c r="E4" s="6"/>
      <c r="F4" s="6"/>
      <c r="G4" s="6"/>
      <c r="H4" s="6"/>
      <c r="I4" s="6"/>
    </row>
    <row r="5" customFormat="false" ht="72" hidden="false" customHeight="true" outlineLevel="0" collapsed="false">
      <c r="A5" s="7" t="s">
        <v>3</v>
      </c>
      <c r="B5" s="7"/>
      <c r="C5" s="7"/>
      <c r="D5" s="7"/>
      <c r="E5" s="7"/>
      <c r="F5" s="7"/>
      <c r="G5" s="7"/>
      <c r="H5" s="7"/>
      <c r="I5" s="7"/>
    </row>
    <row r="6" customFormat="false" ht="6" hidden="false" customHeight="true" outlineLevel="0" collapsed="false">
      <c r="A6" s="4"/>
      <c r="B6" s="5"/>
      <c r="C6" s="5"/>
      <c r="D6" s="5"/>
      <c r="E6" s="5"/>
      <c r="F6" s="5"/>
      <c r="G6" s="5"/>
      <c r="H6" s="5"/>
      <c r="I6" s="5"/>
    </row>
    <row r="7" customFormat="false" ht="24" hidden="false" customHeight="true" outlineLevel="0" collapsed="false">
      <c r="A7" s="6" t="s">
        <v>4</v>
      </c>
      <c r="B7" s="6"/>
      <c r="C7" s="6"/>
      <c r="D7" s="6"/>
      <c r="E7" s="6"/>
      <c r="F7" s="6"/>
      <c r="G7" s="6"/>
      <c r="H7" s="6"/>
      <c r="I7" s="6"/>
    </row>
    <row r="8" customFormat="false" ht="6" hidden="false" customHeight="true" outlineLevel="0" collapsed="false">
      <c r="A8" s="4"/>
      <c r="B8" s="5"/>
      <c r="C8" s="5"/>
      <c r="D8" s="5"/>
      <c r="E8" s="5"/>
      <c r="F8" s="5"/>
      <c r="G8" s="5"/>
      <c r="H8" s="5"/>
      <c r="I8" s="5"/>
    </row>
    <row r="9" customFormat="false" ht="18" hidden="false" customHeight="true" outlineLevel="0" collapsed="false">
      <c r="A9" s="8" t="s">
        <v>5</v>
      </c>
      <c r="B9" s="9" t="s">
        <v>6</v>
      </c>
      <c r="C9" s="9" t="s">
        <v>7</v>
      </c>
      <c r="D9" s="9" t="s">
        <v>8</v>
      </c>
      <c r="E9" s="9" t="s">
        <v>9</v>
      </c>
      <c r="F9" s="9" t="s">
        <v>10</v>
      </c>
      <c r="G9" s="9" t="s">
        <v>11</v>
      </c>
      <c r="H9" s="9" t="s">
        <v>12</v>
      </c>
      <c r="I9" s="9" t="s">
        <v>13</v>
      </c>
    </row>
    <row r="10" customFormat="false" ht="18" hidden="false" customHeight="true" outlineLevel="0" collapsed="false">
      <c r="A10" s="10" t="s">
        <v>14</v>
      </c>
      <c r="B10" s="11" t="s">
        <v>15</v>
      </c>
      <c r="C10" s="11" t="s">
        <v>16</v>
      </c>
      <c r="D10" s="11" t="s">
        <v>17</v>
      </c>
      <c r="E10" s="11" t="s">
        <v>18</v>
      </c>
      <c r="F10" s="11" t="s">
        <v>19</v>
      </c>
      <c r="G10" s="11" t="s">
        <v>20</v>
      </c>
      <c r="H10" s="11" t="s">
        <v>21</v>
      </c>
      <c r="I10" s="11" t="s">
        <v>22</v>
      </c>
    </row>
    <row r="11" customFormat="false" ht="18" hidden="false" customHeight="true" outlineLevel="0" collapsed="false">
      <c r="A11" s="12" t="s">
        <v>23</v>
      </c>
      <c r="B11" s="13" t="s">
        <v>24</v>
      </c>
      <c r="C11" s="13" t="s">
        <v>25</v>
      </c>
      <c r="D11" s="13" t="s">
        <v>26</v>
      </c>
      <c r="E11" s="13" t="s">
        <v>27</v>
      </c>
      <c r="F11" s="13" t="s">
        <v>28</v>
      </c>
      <c r="G11" s="13" t="s">
        <v>29</v>
      </c>
      <c r="H11" s="13" t="s">
        <v>30</v>
      </c>
      <c r="I11" s="13" t="s">
        <v>31</v>
      </c>
    </row>
    <row r="12" customFormat="false" ht="18" hidden="false" customHeight="true" outlineLevel="0" collapsed="false">
      <c r="A12" s="10" t="s">
        <v>32</v>
      </c>
      <c r="B12" s="11" t="s">
        <v>33</v>
      </c>
      <c r="C12" s="11" t="s">
        <v>34</v>
      </c>
      <c r="D12" s="11" t="s">
        <v>35</v>
      </c>
      <c r="E12" s="11" t="s">
        <v>36</v>
      </c>
      <c r="F12" s="11" t="s">
        <v>37</v>
      </c>
      <c r="G12" s="11" t="s">
        <v>38</v>
      </c>
      <c r="H12" s="11" t="s">
        <v>24</v>
      </c>
      <c r="I12" s="11" t="s">
        <v>39</v>
      </c>
    </row>
    <row r="13" customFormat="false" ht="18" hidden="false" customHeight="true" outlineLevel="0" collapsed="false">
      <c r="A13" s="12" t="s">
        <v>40</v>
      </c>
      <c r="B13" s="13" t="s">
        <v>41</v>
      </c>
      <c r="C13" s="13" t="s">
        <v>42</v>
      </c>
      <c r="D13" s="13" t="s">
        <v>43</v>
      </c>
      <c r="E13" s="13" t="s">
        <v>44</v>
      </c>
      <c r="F13" s="13" t="s">
        <v>45</v>
      </c>
      <c r="G13" s="13" t="s">
        <v>46</v>
      </c>
      <c r="H13" s="13" t="s">
        <v>47</v>
      </c>
      <c r="I13" s="13" t="s">
        <v>48</v>
      </c>
    </row>
    <row r="14" customFormat="false" ht="18" hidden="false" customHeight="true" outlineLevel="0" collapsed="false">
      <c r="A14" s="10" t="s">
        <v>49</v>
      </c>
      <c r="B14" s="11" t="s">
        <v>50</v>
      </c>
      <c r="C14" s="11" t="s">
        <v>51</v>
      </c>
      <c r="D14" s="11" t="s">
        <v>52</v>
      </c>
      <c r="E14" s="11" t="s">
        <v>53</v>
      </c>
      <c r="F14" s="11" t="s">
        <v>54</v>
      </c>
      <c r="G14" s="11" t="s">
        <v>55</v>
      </c>
      <c r="H14" s="11" t="s">
        <v>56</v>
      </c>
      <c r="I14" s="11" t="s">
        <v>57</v>
      </c>
    </row>
    <row r="15" customFormat="false" ht="6" hidden="false" customHeight="true" outlineLevel="0" collapsed="false">
      <c r="A15" s="4"/>
      <c r="B15" s="5"/>
      <c r="C15" s="5"/>
      <c r="D15" s="5"/>
      <c r="E15" s="5"/>
      <c r="F15" s="5"/>
      <c r="G15" s="5"/>
      <c r="H15" s="5"/>
      <c r="I15" s="5"/>
    </row>
    <row r="16" customFormat="false" ht="24" hidden="false" customHeight="true" outlineLevel="0" collapsed="false">
      <c r="A16" s="6" t="s">
        <v>58</v>
      </c>
      <c r="B16" s="6"/>
      <c r="C16" s="6"/>
      <c r="D16" s="6"/>
      <c r="E16" s="6"/>
      <c r="F16" s="6"/>
      <c r="G16" s="6"/>
      <c r="H16" s="6"/>
      <c r="I16" s="6"/>
    </row>
    <row r="17" customFormat="false" ht="36" hidden="false" customHeight="true" outlineLevel="0" collapsed="false">
      <c r="A17" s="14" t="s">
        <v>59</v>
      </c>
      <c r="B17" s="14"/>
      <c r="C17" s="14"/>
      <c r="D17" s="14"/>
      <c r="E17" s="14"/>
      <c r="F17" s="14"/>
      <c r="G17" s="14"/>
      <c r="H17" s="14"/>
      <c r="I17" s="14"/>
    </row>
    <row r="18" customFormat="false" ht="36" hidden="false" customHeight="true" outlineLevel="0" collapsed="false">
      <c r="A18" s="14" t="s">
        <v>60</v>
      </c>
      <c r="B18" s="14"/>
      <c r="C18" s="14"/>
      <c r="D18" s="14"/>
      <c r="E18" s="14"/>
      <c r="F18" s="14"/>
      <c r="G18" s="14"/>
      <c r="H18" s="14"/>
      <c r="I18" s="14"/>
    </row>
    <row r="19" customFormat="false" ht="36" hidden="false" customHeight="true" outlineLevel="0" collapsed="false">
      <c r="A19" s="14" t="s">
        <v>61</v>
      </c>
      <c r="B19" s="14"/>
      <c r="C19" s="14"/>
      <c r="D19" s="14"/>
      <c r="E19" s="14"/>
      <c r="F19" s="14"/>
      <c r="G19" s="14"/>
      <c r="H19" s="14"/>
      <c r="I19" s="14"/>
    </row>
    <row r="20" customFormat="false" ht="36" hidden="false" customHeight="true" outlineLevel="0" collapsed="false">
      <c r="A20" s="14" t="s">
        <v>62</v>
      </c>
      <c r="B20" s="14"/>
      <c r="C20" s="14"/>
      <c r="D20" s="14"/>
      <c r="E20" s="14"/>
      <c r="F20" s="14"/>
      <c r="G20" s="14"/>
      <c r="H20" s="14"/>
      <c r="I20" s="14"/>
    </row>
    <row r="21" customFormat="false" ht="36" hidden="false" customHeight="true" outlineLevel="0" collapsed="false">
      <c r="A21" s="14" t="s">
        <v>63</v>
      </c>
      <c r="B21" s="14"/>
      <c r="C21" s="14"/>
      <c r="D21" s="14"/>
      <c r="E21" s="14"/>
      <c r="F21" s="14"/>
      <c r="G21" s="14"/>
      <c r="H21" s="14"/>
      <c r="I21" s="14"/>
    </row>
    <row r="22" customFormat="false" ht="6" hidden="false" customHeight="true" outlineLevel="0" collapsed="false">
      <c r="A22" s="4"/>
      <c r="B22" s="5"/>
      <c r="C22" s="5"/>
      <c r="D22" s="5"/>
      <c r="E22" s="5"/>
      <c r="F22" s="5"/>
      <c r="G22" s="5"/>
      <c r="H22" s="5"/>
      <c r="I22" s="5"/>
    </row>
    <row r="23" customFormat="false" ht="24" hidden="false" customHeight="true" outlineLevel="0" collapsed="false">
      <c r="A23" s="6" t="s">
        <v>64</v>
      </c>
      <c r="B23" s="6"/>
      <c r="C23" s="6"/>
      <c r="D23" s="6"/>
      <c r="E23" s="6"/>
      <c r="F23" s="6"/>
      <c r="G23" s="6"/>
      <c r="H23" s="6"/>
      <c r="I23" s="6"/>
    </row>
    <row r="24" customFormat="false" ht="30" hidden="false" customHeight="true" outlineLevel="0" collapsed="false">
      <c r="A24" s="14" t="s">
        <v>65</v>
      </c>
      <c r="B24" s="14"/>
      <c r="C24" s="14"/>
      <c r="D24" s="14"/>
      <c r="E24" s="14"/>
      <c r="F24" s="14"/>
      <c r="G24" s="14"/>
      <c r="H24" s="14"/>
      <c r="I24" s="14"/>
    </row>
    <row r="25" customFormat="false" ht="30" hidden="false" customHeight="true" outlineLevel="0" collapsed="false">
      <c r="A25" s="14" t="s">
        <v>66</v>
      </c>
      <c r="B25" s="14"/>
      <c r="C25" s="14"/>
      <c r="D25" s="14"/>
      <c r="E25" s="14"/>
      <c r="F25" s="14"/>
      <c r="G25" s="14"/>
      <c r="H25" s="14"/>
      <c r="I25" s="14"/>
    </row>
    <row r="26" customFormat="false" ht="30" hidden="false" customHeight="true" outlineLevel="0" collapsed="false">
      <c r="A26" s="14" t="s">
        <v>67</v>
      </c>
      <c r="B26" s="14"/>
      <c r="C26" s="14"/>
      <c r="D26" s="14"/>
      <c r="E26" s="14"/>
      <c r="F26" s="14"/>
      <c r="G26" s="14"/>
      <c r="H26" s="14"/>
      <c r="I26" s="14"/>
    </row>
    <row r="27" customFormat="false" ht="30" hidden="false" customHeight="true" outlineLevel="0" collapsed="false">
      <c r="A27" s="14" t="s">
        <v>68</v>
      </c>
      <c r="B27" s="14"/>
      <c r="C27" s="14"/>
      <c r="D27" s="14"/>
      <c r="E27" s="14"/>
      <c r="F27" s="14"/>
      <c r="G27" s="14"/>
      <c r="H27" s="14"/>
      <c r="I27" s="14"/>
    </row>
    <row r="28" customFormat="false" ht="30" hidden="false" customHeight="true" outlineLevel="0" collapsed="false">
      <c r="A28" s="14" t="s">
        <v>69</v>
      </c>
      <c r="B28" s="14"/>
      <c r="C28" s="14"/>
      <c r="D28" s="14"/>
      <c r="E28" s="14"/>
      <c r="F28" s="14"/>
      <c r="G28" s="14"/>
      <c r="H28" s="14"/>
      <c r="I28" s="14"/>
    </row>
    <row r="29" customFormat="false" ht="6" hidden="false" customHeight="true" outlineLevel="0" collapsed="false">
      <c r="A29" s="4"/>
      <c r="B29" s="5"/>
      <c r="C29" s="5"/>
      <c r="D29" s="5"/>
      <c r="E29" s="5"/>
      <c r="F29" s="5"/>
      <c r="G29" s="5"/>
      <c r="H29" s="5"/>
      <c r="I29" s="5"/>
    </row>
    <row r="30" customFormat="false" ht="24" hidden="false" customHeight="true" outlineLevel="0" collapsed="false">
      <c r="A30" s="6" t="s">
        <v>70</v>
      </c>
      <c r="B30" s="6"/>
      <c r="C30" s="6"/>
      <c r="D30" s="6"/>
      <c r="E30" s="6"/>
      <c r="F30" s="6"/>
      <c r="G30" s="6"/>
      <c r="H30" s="6"/>
      <c r="I30" s="6"/>
    </row>
    <row r="31" customFormat="false" ht="18" hidden="false" customHeight="true" outlineLevel="0" collapsed="false">
      <c r="A31" s="8" t="s">
        <v>71</v>
      </c>
      <c r="B31" s="15" t="s">
        <v>72</v>
      </c>
      <c r="C31" s="15"/>
      <c r="D31" s="15"/>
      <c r="E31" s="15"/>
      <c r="F31" s="15" t="s">
        <v>73</v>
      </c>
      <c r="G31" s="15"/>
      <c r="H31" s="15"/>
      <c r="I31" s="15"/>
    </row>
    <row r="32" customFormat="false" ht="21.75" hidden="false" customHeight="true" outlineLevel="0" collapsed="false">
      <c r="A32" s="16" t="s">
        <v>74</v>
      </c>
      <c r="B32" s="17" t="s">
        <v>75</v>
      </c>
      <c r="C32" s="17"/>
      <c r="D32" s="17"/>
      <c r="E32" s="17"/>
      <c r="F32" s="18" t="s">
        <v>76</v>
      </c>
      <c r="G32" s="18"/>
      <c r="H32" s="18"/>
      <c r="I32" s="18"/>
    </row>
    <row r="33" customFormat="false" ht="21.75" hidden="false" customHeight="true" outlineLevel="0" collapsed="false">
      <c r="A33" s="19" t="s">
        <v>7</v>
      </c>
      <c r="B33" s="20" t="s">
        <v>77</v>
      </c>
      <c r="C33" s="20"/>
      <c r="D33" s="20"/>
      <c r="E33" s="20"/>
      <c r="F33" s="21" t="s">
        <v>78</v>
      </c>
      <c r="G33" s="21"/>
      <c r="H33" s="21"/>
      <c r="I33" s="21"/>
    </row>
    <row r="34" customFormat="false" ht="21.75" hidden="false" customHeight="true" outlineLevel="0" collapsed="false">
      <c r="A34" s="16" t="s">
        <v>10</v>
      </c>
      <c r="B34" s="17" t="s">
        <v>79</v>
      </c>
      <c r="C34" s="17"/>
      <c r="D34" s="17"/>
      <c r="E34" s="17"/>
      <c r="F34" s="18" t="s">
        <v>80</v>
      </c>
      <c r="G34" s="18"/>
      <c r="H34" s="18"/>
      <c r="I34" s="18"/>
    </row>
    <row r="35" customFormat="false" ht="21.75" hidden="false" customHeight="true" outlineLevel="0" collapsed="false">
      <c r="A35" s="19" t="s">
        <v>11</v>
      </c>
      <c r="B35" s="20" t="s">
        <v>81</v>
      </c>
      <c r="C35" s="20"/>
      <c r="D35" s="20"/>
      <c r="E35" s="20"/>
      <c r="F35" s="21" t="s">
        <v>82</v>
      </c>
      <c r="G35" s="21"/>
      <c r="H35" s="21"/>
      <c r="I35" s="21"/>
    </row>
    <row r="36" customFormat="false" ht="21.75" hidden="false" customHeight="true" outlineLevel="0" collapsed="false">
      <c r="A36" s="16" t="s">
        <v>9</v>
      </c>
      <c r="B36" s="17" t="s">
        <v>83</v>
      </c>
      <c r="C36" s="17"/>
      <c r="D36" s="17"/>
      <c r="E36" s="17"/>
      <c r="F36" s="18" t="s">
        <v>84</v>
      </c>
      <c r="G36" s="18"/>
      <c r="H36" s="18"/>
      <c r="I36" s="18"/>
    </row>
    <row r="37" customFormat="false" ht="21.75" hidden="false" customHeight="true" outlineLevel="0" collapsed="false">
      <c r="A37" s="19" t="s">
        <v>85</v>
      </c>
      <c r="B37" s="20" t="s">
        <v>86</v>
      </c>
      <c r="C37" s="20"/>
      <c r="D37" s="20"/>
      <c r="E37" s="20"/>
      <c r="F37" s="21" t="s">
        <v>87</v>
      </c>
      <c r="G37" s="21"/>
      <c r="H37" s="21"/>
      <c r="I37" s="21"/>
    </row>
    <row r="38" customFormat="false" ht="21.75" hidden="false" customHeight="true" outlineLevel="0" collapsed="false">
      <c r="A38" s="16" t="s">
        <v>12</v>
      </c>
      <c r="B38" s="17" t="s">
        <v>88</v>
      </c>
      <c r="C38" s="17"/>
      <c r="D38" s="17"/>
      <c r="E38" s="17"/>
      <c r="F38" s="18" t="s">
        <v>89</v>
      </c>
      <c r="G38" s="18"/>
      <c r="H38" s="18"/>
      <c r="I38" s="18"/>
    </row>
    <row r="39" customFormat="false" ht="21.75" hidden="false" customHeight="true" outlineLevel="0" collapsed="false">
      <c r="A39" s="19" t="s">
        <v>13</v>
      </c>
      <c r="B39" s="20" t="s">
        <v>90</v>
      </c>
      <c r="C39" s="20"/>
      <c r="D39" s="20"/>
      <c r="E39" s="20"/>
      <c r="F39" s="21" t="s">
        <v>91</v>
      </c>
      <c r="G39" s="21"/>
      <c r="H39" s="21"/>
      <c r="I39" s="21"/>
    </row>
    <row r="40" customFormat="false" ht="21.75" hidden="false" customHeight="true" outlineLevel="0" collapsed="false">
      <c r="A40" s="16" t="s">
        <v>92</v>
      </c>
      <c r="B40" s="17" t="s">
        <v>93</v>
      </c>
      <c r="C40" s="17"/>
      <c r="D40" s="17"/>
      <c r="E40" s="17"/>
      <c r="F40" s="18" t="s">
        <v>94</v>
      </c>
      <c r="G40" s="18"/>
      <c r="H40" s="18"/>
      <c r="I40" s="18"/>
    </row>
    <row r="41" customFormat="false" ht="21.75" hidden="false" customHeight="true" outlineLevel="0" collapsed="false">
      <c r="A41" s="19" t="s">
        <v>95</v>
      </c>
      <c r="B41" s="20" t="s">
        <v>96</v>
      </c>
      <c r="C41" s="20"/>
      <c r="D41" s="20"/>
      <c r="E41" s="20"/>
      <c r="F41" s="21" t="s">
        <v>97</v>
      </c>
      <c r="G41" s="21"/>
      <c r="H41" s="21"/>
      <c r="I41" s="21"/>
    </row>
    <row r="42" customFormat="false" ht="21.75" hidden="false" customHeight="true" outlineLevel="0" collapsed="false">
      <c r="A42" s="16" t="s">
        <v>98</v>
      </c>
      <c r="B42" s="17" t="s">
        <v>99</v>
      </c>
      <c r="C42" s="17"/>
      <c r="D42" s="17"/>
      <c r="E42" s="17"/>
      <c r="F42" s="18" t="s">
        <v>100</v>
      </c>
      <c r="G42" s="18"/>
      <c r="H42" s="18"/>
      <c r="I42" s="18"/>
    </row>
    <row r="43" customFormat="false" ht="21.75" hidden="false" customHeight="true" outlineLevel="0" collapsed="false">
      <c r="A43" s="19" t="s">
        <v>101</v>
      </c>
      <c r="B43" s="20" t="s">
        <v>102</v>
      </c>
      <c r="C43" s="20"/>
      <c r="D43" s="20"/>
      <c r="E43" s="20"/>
      <c r="F43" s="21" t="s">
        <v>103</v>
      </c>
      <c r="G43" s="21"/>
      <c r="H43" s="21"/>
      <c r="I43" s="21"/>
    </row>
    <row r="44" customFormat="false" ht="6" hidden="false" customHeight="true" outlineLevel="0" collapsed="false">
      <c r="A44" s="4"/>
      <c r="B44" s="5"/>
      <c r="C44" s="5"/>
      <c r="D44" s="5"/>
      <c r="E44" s="5"/>
      <c r="F44" s="5"/>
      <c r="G44" s="5"/>
      <c r="H44" s="5"/>
      <c r="I44" s="5"/>
    </row>
    <row r="45" customFormat="false" ht="24" hidden="false" customHeight="true" outlineLevel="0" collapsed="false">
      <c r="A45" s="6" t="s">
        <v>104</v>
      </c>
      <c r="B45" s="6"/>
      <c r="C45" s="6"/>
      <c r="D45" s="6"/>
      <c r="E45" s="6"/>
      <c r="F45" s="6"/>
      <c r="G45" s="6"/>
      <c r="H45" s="6"/>
      <c r="I45" s="6"/>
    </row>
    <row r="46" customFormat="false" ht="18" hidden="false" customHeight="true" outlineLevel="0" collapsed="false">
      <c r="A46" s="8" t="s">
        <v>105</v>
      </c>
      <c r="B46" s="15" t="s">
        <v>106</v>
      </c>
      <c r="C46" s="15"/>
      <c r="D46" s="15"/>
      <c r="E46" s="15"/>
      <c r="F46" s="15" t="s">
        <v>107</v>
      </c>
      <c r="G46" s="15"/>
      <c r="H46" s="15"/>
      <c r="I46" s="15"/>
    </row>
    <row r="47" customFormat="false" ht="33" hidden="false" customHeight="true" outlineLevel="0" collapsed="false">
      <c r="A47" s="16" t="s">
        <v>108</v>
      </c>
      <c r="B47" s="17" t="s">
        <v>109</v>
      </c>
      <c r="C47" s="17"/>
      <c r="D47" s="17"/>
      <c r="E47" s="17"/>
      <c r="F47" s="18" t="s">
        <v>110</v>
      </c>
      <c r="G47" s="18"/>
      <c r="H47" s="18"/>
      <c r="I47" s="18"/>
    </row>
    <row r="48" customFormat="false" ht="31.5" hidden="false" customHeight="true" outlineLevel="0" collapsed="false">
      <c r="A48" s="19" t="s">
        <v>111</v>
      </c>
      <c r="B48" s="20" t="s">
        <v>112</v>
      </c>
      <c r="C48" s="20"/>
      <c r="D48" s="20"/>
      <c r="E48" s="20"/>
      <c r="F48" s="21" t="s">
        <v>113</v>
      </c>
      <c r="G48" s="21"/>
      <c r="H48" s="21"/>
      <c r="I48" s="21"/>
    </row>
    <row r="49" customFormat="false" ht="31.5" hidden="false" customHeight="true" outlineLevel="0" collapsed="false">
      <c r="A49" s="16" t="s">
        <v>114</v>
      </c>
      <c r="B49" s="17" t="s">
        <v>115</v>
      </c>
      <c r="C49" s="17"/>
      <c r="D49" s="17"/>
      <c r="E49" s="17"/>
      <c r="F49" s="18" t="s">
        <v>116</v>
      </c>
      <c r="G49" s="18"/>
      <c r="H49" s="18"/>
      <c r="I49" s="18"/>
    </row>
    <row r="50" customFormat="false" ht="21.75" hidden="false" customHeight="true" outlineLevel="0" collapsed="false">
      <c r="A50" s="19" t="s">
        <v>117</v>
      </c>
      <c r="B50" s="20" t="s">
        <v>118</v>
      </c>
      <c r="C50" s="20"/>
      <c r="D50" s="20"/>
      <c r="E50" s="20"/>
      <c r="F50" s="21" t="s">
        <v>119</v>
      </c>
      <c r="G50" s="21"/>
      <c r="H50" s="21"/>
      <c r="I50" s="21"/>
    </row>
    <row r="51" customFormat="false" ht="6" hidden="false" customHeight="true" outlineLevel="0" collapsed="false">
      <c r="A51" s="4"/>
      <c r="B51" s="5"/>
      <c r="C51" s="5"/>
      <c r="D51" s="5"/>
      <c r="E51" s="5"/>
      <c r="F51" s="5"/>
      <c r="G51" s="5"/>
      <c r="H51" s="5"/>
      <c r="I51" s="5"/>
    </row>
    <row r="52" customFormat="false" ht="24" hidden="false" customHeight="true" outlineLevel="0" collapsed="false">
      <c r="A52" s="6" t="s">
        <v>120</v>
      </c>
      <c r="B52" s="6"/>
      <c r="C52" s="6"/>
      <c r="D52" s="6"/>
      <c r="E52" s="6"/>
      <c r="F52" s="6"/>
      <c r="G52" s="6"/>
      <c r="H52" s="6"/>
      <c r="I52" s="6"/>
    </row>
    <row r="53" customFormat="false" ht="18" hidden="false" customHeight="true" outlineLevel="0" collapsed="false">
      <c r="A53" s="8" t="s">
        <v>121</v>
      </c>
      <c r="B53" s="15" t="s">
        <v>106</v>
      </c>
      <c r="C53" s="15"/>
      <c r="D53" s="15"/>
      <c r="E53" s="15"/>
      <c r="F53" s="15" t="s">
        <v>122</v>
      </c>
      <c r="G53" s="15"/>
      <c r="H53" s="15"/>
      <c r="I53" s="15"/>
    </row>
    <row r="54" customFormat="false" ht="30" hidden="false" customHeight="true" outlineLevel="0" collapsed="false">
      <c r="A54" s="16" t="s">
        <v>123</v>
      </c>
      <c r="B54" s="17" t="s">
        <v>124</v>
      </c>
      <c r="C54" s="17"/>
      <c r="D54" s="17"/>
      <c r="E54" s="17"/>
      <c r="F54" s="18" t="s">
        <v>125</v>
      </c>
      <c r="G54" s="18"/>
      <c r="H54" s="18"/>
      <c r="I54" s="18"/>
    </row>
    <row r="55" customFormat="false" ht="21.75" hidden="false" customHeight="true" outlineLevel="0" collapsed="false">
      <c r="A55" s="19" t="s">
        <v>126</v>
      </c>
      <c r="B55" s="20" t="s">
        <v>127</v>
      </c>
      <c r="C55" s="20"/>
      <c r="D55" s="20"/>
      <c r="E55" s="20"/>
      <c r="F55" s="21" t="s">
        <v>128</v>
      </c>
      <c r="G55" s="21"/>
      <c r="H55" s="21"/>
      <c r="I55" s="21"/>
    </row>
    <row r="56" customFormat="false" ht="21.75" hidden="false" customHeight="true" outlineLevel="0" collapsed="false">
      <c r="A56" s="16" t="s">
        <v>129</v>
      </c>
      <c r="B56" s="17" t="s">
        <v>130</v>
      </c>
      <c r="C56" s="17"/>
      <c r="D56" s="17"/>
      <c r="E56" s="17"/>
      <c r="F56" s="18" t="s">
        <v>131</v>
      </c>
      <c r="G56" s="18"/>
      <c r="H56" s="18"/>
      <c r="I56" s="18"/>
    </row>
    <row r="57" customFormat="false" ht="21.75" hidden="false" customHeight="true" outlineLevel="0" collapsed="false">
      <c r="A57" s="19" t="s">
        <v>132</v>
      </c>
      <c r="B57" s="20" t="s">
        <v>133</v>
      </c>
      <c r="C57" s="20"/>
      <c r="D57" s="20"/>
      <c r="E57" s="20"/>
      <c r="F57" s="21" t="s">
        <v>134</v>
      </c>
      <c r="G57" s="21"/>
      <c r="H57" s="21"/>
      <c r="I57" s="21"/>
    </row>
    <row r="58" customFormat="false" ht="21.75" hidden="false" customHeight="true" outlineLevel="0" collapsed="false">
      <c r="A58" s="16" t="s">
        <v>135</v>
      </c>
      <c r="B58" s="17" t="s">
        <v>136</v>
      </c>
      <c r="C58" s="17"/>
      <c r="D58" s="17"/>
      <c r="E58" s="17"/>
      <c r="F58" s="18" t="s">
        <v>137</v>
      </c>
      <c r="G58" s="18"/>
      <c r="H58" s="18"/>
      <c r="I58" s="18"/>
    </row>
    <row r="59" customFormat="false" ht="30" hidden="false" customHeight="true" outlineLevel="0" collapsed="false">
      <c r="A59" s="19" t="s">
        <v>138</v>
      </c>
      <c r="B59" s="20" t="s">
        <v>139</v>
      </c>
      <c r="C59" s="20"/>
      <c r="D59" s="20"/>
      <c r="E59" s="20"/>
      <c r="F59" s="21" t="s">
        <v>140</v>
      </c>
      <c r="G59" s="21"/>
      <c r="H59" s="21"/>
      <c r="I59" s="21"/>
    </row>
    <row r="60" customFormat="false" ht="6" hidden="false" customHeight="true" outlineLevel="0" collapsed="false">
      <c r="A60" s="4"/>
      <c r="B60" s="5"/>
      <c r="C60" s="5"/>
      <c r="D60" s="5"/>
      <c r="E60" s="5"/>
      <c r="F60" s="5"/>
      <c r="G60" s="5"/>
      <c r="H60" s="5"/>
      <c r="I60" s="5"/>
    </row>
    <row r="61" customFormat="false" ht="24" hidden="false" customHeight="true" outlineLevel="0" collapsed="false">
      <c r="A61" s="6" t="s">
        <v>141</v>
      </c>
      <c r="B61" s="6"/>
      <c r="C61" s="6"/>
      <c r="D61" s="6"/>
      <c r="E61" s="6"/>
      <c r="F61" s="6"/>
      <c r="G61" s="6"/>
      <c r="H61" s="6"/>
      <c r="I61" s="6"/>
    </row>
    <row r="62" customFormat="false" ht="27.75" hidden="false" customHeight="true" outlineLevel="0" collapsed="false">
      <c r="A62" s="22" t="s">
        <v>142</v>
      </c>
      <c r="B62" s="22"/>
      <c r="C62" s="22"/>
      <c r="D62" s="22"/>
      <c r="E62" s="22"/>
      <c r="F62" s="22"/>
      <c r="G62" s="22"/>
      <c r="H62" s="22"/>
      <c r="I62" s="22"/>
    </row>
    <row r="63" customFormat="false" ht="27.75" hidden="false" customHeight="true" outlineLevel="0" collapsed="false">
      <c r="A63" s="22" t="s">
        <v>143</v>
      </c>
      <c r="B63" s="22"/>
      <c r="C63" s="22"/>
      <c r="D63" s="22"/>
      <c r="E63" s="22"/>
      <c r="F63" s="22"/>
      <c r="G63" s="22"/>
      <c r="H63" s="22"/>
      <c r="I63" s="22"/>
    </row>
    <row r="64" customFormat="false" ht="27.75" hidden="false" customHeight="true" outlineLevel="0" collapsed="false">
      <c r="A64" s="22" t="s">
        <v>144</v>
      </c>
      <c r="B64" s="22"/>
      <c r="C64" s="22"/>
      <c r="D64" s="22"/>
      <c r="E64" s="22"/>
      <c r="F64" s="22"/>
      <c r="G64" s="22"/>
      <c r="H64" s="22"/>
      <c r="I64" s="22"/>
    </row>
    <row r="65" customFormat="false" ht="27.75" hidden="false" customHeight="true" outlineLevel="0" collapsed="false">
      <c r="A65" s="22" t="s">
        <v>145</v>
      </c>
      <c r="B65" s="22"/>
      <c r="C65" s="22"/>
      <c r="D65" s="22"/>
      <c r="E65" s="22"/>
      <c r="F65" s="22"/>
      <c r="G65" s="22"/>
      <c r="H65" s="22"/>
      <c r="I65" s="22"/>
    </row>
    <row r="66" customFormat="false" ht="27.75" hidden="false" customHeight="true" outlineLevel="0" collapsed="false">
      <c r="A66" s="22" t="s">
        <v>146</v>
      </c>
      <c r="B66" s="22"/>
      <c r="C66" s="22"/>
      <c r="D66" s="22"/>
      <c r="E66" s="22"/>
      <c r="F66" s="22"/>
      <c r="G66" s="22"/>
      <c r="H66" s="22"/>
      <c r="I66" s="22"/>
    </row>
  </sheetData>
  <mergeCells count="76">
    <mergeCell ref="A1:I1"/>
    <mergeCell ref="A2:I2"/>
    <mergeCell ref="A4:I4"/>
    <mergeCell ref="A5:I5"/>
    <mergeCell ref="A7:I7"/>
    <mergeCell ref="A16:I16"/>
    <mergeCell ref="A17:I17"/>
    <mergeCell ref="A18:I18"/>
    <mergeCell ref="A19:I19"/>
    <mergeCell ref="A20:I20"/>
    <mergeCell ref="A21:I21"/>
    <mergeCell ref="A23:I23"/>
    <mergeCell ref="A24:I24"/>
    <mergeCell ref="A25:I25"/>
    <mergeCell ref="A26:I26"/>
    <mergeCell ref="A27:I27"/>
    <mergeCell ref="A28:I28"/>
    <mergeCell ref="A30:I30"/>
    <mergeCell ref="B31:E31"/>
    <mergeCell ref="F31:I31"/>
    <mergeCell ref="B32:E32"/>
    <mergeCell ref="F32:I32"/>
    <mergeCell ref="B33:E33"/>
    <mergeCell ref="F33:I33"/>
    <mergeCell ref="B34:E34"/>
    <mergeCell ref="F34:I34"/>
    <mergeCell ref="B35:E35"/>
    <mergeCell ref="F35:I35"/>
    <mergeCell ref="B36:E36"/>
    <mergeCell ref="F36:I36"/>
    <mergeCell ref="B37:E37"/>
    <mergeCell ref="F37:I37"/>
    <mergeCell ref="B38:E38"/>
    <mergeCell ref="F38:I38"/>
    <mergeCell ref="B39:E39"/>
    <mergeCell ref="F39:I39"/>
    <mergeCell ref="B40:E40"/>
    <mergeCell ref="F40:I40"/>
    <mergeCell ref="B41:E41"/>
    <mergeCell ref="F41:I41"/>
    <mergeCell ref="B42:E42"/>
    <mergeCell ref="F42:I42"/>
    <mergeCell ref="B43:E43"/>
    <mergeCell ref="F43:I43"/>
    <mergeCell ref="A45:I45"/>
    <mergeCell ref="B46:E46"/>
    <mergeCell ref="F46:I46"/>
    <mergeCell ref="B47:E47"/>
    <mergeCell ref="F47:I47"/>
    <mergeCell ref="B48:E48"/>
    <mergeCell ref="F48:I48"/>
    <mergeCell ref="B49:E49"/>
    <mergeCell ref="F49:I49"/>
    <mergeCell ref="B50:E50"/>
    <mergeCell ref="F50:I50"/>
    <mergeCell ref="A52:I52"/>
    <mergeCell ref="B53:E53"/>
    <mergeCell ref="F53:I53"/>
    <mergeCell ref="B54:E54"/>
    <mergeCell ref="F54:I54"/>
    <mergeCell ref="B55:E55"/>
    <mergeCell ref="F55:I55"/>
    <mergeCell ref="B56:E56"/>
    <mergeCell ref="F56:I56"/>
    <mergeCell ref="B57:E57"/>
    <mergeCell ref="F57:I57"/>
    <mergeCell ref="B58:E58"/>
    <mergeCell ref="F58:I58"/>
    <mergeCell ref="B59:E59"/>
    <mergeCell ref="F59:I59"/>
    <mergeCell ref="A61:I61"/>
    <mergeCell ref="A62:I62"/>
    <mergeCell ref="A63:I63"/>
    <mergeCell ref="A64:I64"/>
    <mergeCell ref="A65:I65"/>
    <mergeCell ref="A66:I66"/>
  </mergeCells>
  <printOptions headings="false" gridLines="false" gridLinesSet="true" horizontalCentered="false" verticalCentered="false"/>
  <pageMargins left="0.4" right="0.4" top="0.5" bottom="0.5" header="0.25" footer="0.25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&amp;CWillis Holdings</oddHeader>
    <oddFooter>&amp;CCONFIDENTIAL  | 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472C4"/>
    <pageSetUpPr fitToPage="false"/>
  </sheetPr>
  <dimension ref="A1:H2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36"/>
    <col collapsed="false" customWidth="true" hidden="false" outlineLevel="0" max="3" min="3" style="1" width="14"/>
    <col collapsed="false" customWidth="true" hidden="false" outlineLevel="0" max="4" min="4" style="1" width="12"/>
    <col collapsed="false" customWidth="true" hidden="false" outlineLevel="0" max="5" min="5" style="1" width="18"/>
    <col collapsed="false" customWidth="true" hidden="false" outlineLevel="0" max="7" min="6" style="1" width="12"/>
    <col collapsed="false" customWidth="true" hidden="false" outlineLevel="0" max="8" min="8" style="1" width="40"/>
  </cols>
  <sheetData>
    <row r="1" customFormat="false" ht="24" hidden="false" customHeight="true" outlineLevel="0" collapsed="false">
      <c r="A1" s="2" t="s">
        <v>147</v>
      </c>
      <c r="B1" s="2"/>
      <c r="C1" s="2"/>
      <c r="D1" s="2"/>
      <c r="E1" s="2"/>
      <c r="F1" s="2"/>
      <c r="G1" s="2"/>
      <c r="H1" s="2"/>
    </row>
    <row r="2" customFormat="false" ht="21.75" hidden="false" customHeight="true" outlineLevel="0" collapsed="false">
      <c r="A2" s="23" t="s">
        <v>148</v>
      </c>
      <c r="B2" s="23"/>
      <c r="C2" s="23"/>
      <c r="D2" s="23"/>
      <c r="E2" s="23"/>
      <c r="F2" s="23"/>
      <c r="G2" s="23"/>
      <c r="H2" s="23"/>
    </row>
    <row r="3" customFormat="false" ht="6" hidden="false" customHeight="true" outlineLevel="0" collapsed="false">
      <c r="A3" s="4"/>
      <c r="B3" s="5"/>
      <c r="C3" s="5"/>
      <c r="D3" s="5"/>
      <c r="E3" s="5"/>
      <c r="F3" s="5"/>
      <c r="G3" s="5"/>
      <c r="H3" s="5"/>
    </row>
    <row r="4" customFormat="false" ht="24" hidden="false" customHeight="true" outlineLevel="0" collapsed="false">
      <c r="A4" s="6" t="s">
        <v>149</v>
      </c>
      <c r="B4" s="6"/>
      <c r="C4" s="6"/>
      <c r="D4" s="6"/>
      <c r="E4" s="6"/>
      <c r="F4" s="6"/>
      <c r="G4" s="6"/>
      <c r="H4" s="6"/>
    </row>
    <row r="5" customFormat="false" ht="24" hidden="false" customHeight="true" outlineLevel="0" collapsed="false">
      <c r="A5" s="24" t="s">
        <v>150</v>
      </c>
      <c r="B5" s="25" t="s">
        <v>151</v>
      </c>
      <c r="C5" s="25" t="s">
        <v>152</v>
      </c>
      <c r="D5" s="25" t="s">
        <v>153</v>
      </c>
      <c r="E5" s="25" t="s">
        <v>154</v>
      </c>
      <c r="F5" s="25" t="s">
        <v>155</v>
      </c>
      <c r="G5" s="25" t="s">
        <v>156</v>
      </c>
      <c r="H5" s="25" t="s">
        <v>157</v>
      </c>
    </row>
    <row r="6" customFormat="false" ht="64.5" hidden="false" customHeight="true" outlineLevel="0" collapsed="false">
      <c r="A6" s="26" t="s">
        <v>158</v>
      </c>
      <c r="B6" s="27" t="s">
        <v>159</v>
      </c>
      <c r="C6" s="27" t="s">
        <v>160</v>
      </c>
      <c r="D6" s="27" t="s">
        <v>161</v>
      </c>
      <c r="E6" s="27" t="s">
        <v>162</v>
      </c>
      <c r="F6" s="27" t="s">
        <v>163</v>
      </c>
      <c r="G6" s="28" t="s">
        <v>164</v>
      </c>
      <c r="H6" s="27" t="s">
        <v>165</v>
      </c>
    </row>
    <row r="7" customFormat="false" ht="64.5" hidden="false" customHeight="true" outlineLevel="0" collapsed="false">
      <c r="A7" s="26" t="s">
        <v>166</v>
      </c>
      <c r="B7" s="27" t="s">
        <v>167</v>
      </c>
      <c r="C7" s="27" t="s">
        <v>168</v>
      </c>
      <c r="D7" s="27" t="s">
        <v>169</v>
      </c>
      <c r="E7" s="27" t="s">
        <v>170</v>
      </c>
      <c r="F7" s="27" t="s">
        <v>171</v>
      </c>
      <c r="G7" s="28" t="s">
        <v>172</v>
      </c>
      <c r="H7" s="27" t="s">
        <v>173</v>
      </c>
    </row>
    <row r="8" customFormat="false" ht="64.5" hidden="false" customHeight="true" outlineLevel="0" collapsed="false">
      <c r="A8" s="26" t="s">
        <v>174</v>
      </c>
      <c r="B8" s="27" t="s">
        <v>175</v>
      </c>
      <c r="C8" s="27" t="s">
        <v>160</v>
      </c>
      <c r="D8" s="27" t="s">
        <v>176</v>
      </c>
      <c r="E8" s="27" t="s">
        <v>177</v>
      </c>
      <c r="F8" s="27" t="s">
        <v>178</v>
      </c>
      <c r="G8" s="28" t="s">
        <v>172</v>
      </c>
      <c r="H8" s="27" t="s">
        <v>179</v>
      </c>
    </row>
    <row r="9" customFormat="false" ht="64.5" hidden="false" customHeight="true" outlineLevel="0" collapsed="false">
      <c r="A9" s="26" t="s">
        <v>180</v>
      </c>
      <c r="B9" s="27" t="s">
        <v>181</v>
      </c>
      <c r="C9" s="27" t="s">
        <v>160</v>
      </c>
      <c r="D9" s="27" t="s">
        <v>182</v>
      </c>
      <c r="E9" s="27" t="s">
        <v>183</v>
      </c>
      <c r="F9" s="27" t="s">
        <v>184</v>
      </c>
      <c r="G9" s="28" t="s">
        <v>172</v>
      </c>
      <c r="H9" s="27" t="s">
        <v>185</v>
      </c>
    </row>
    <row r="10" customFormat="false" ht="64.5" hidden="false" customHeight="true" outlineLevel="0" collapsed="false">
      <c r="A10" s="26" t="s">
        <v>186</v>
      </c>
      <c r="B10" s="27" t="s">
        <v>187</v>
      </c>
      <c r="C10" s="27" t="s">
        <v>160</v>
      </c>
      <c r="D10" s="27" t="s">
        <v>182</v>
      </c>
      <c r="E10" s="27" t="s">
        <v>188</v>
      </c>
      <c r="F10" s="27" t="s">
        <v>189</v>
      </c>
      <c r="G10" s="28" t="s">
        <v>172</v>
      </c>
      <c r="H10" s="27" t="s">
        <v>190</v>
      </c>
    </row>
    <row r="11" customFormat="false" ht="64.5" hidden="false" customHeight="true" outlineLevel="0" collapsed="false">
      <c r="A11" s="26" t="s">
        <v>191</v>
      </c>
      <c r="B11" s="27" t="s">
        <v>192</v>
      </c>
      <c r="C11" s="27" t="s">
        <v>160</v>
      </c>
      <c r="D11" s="27" t="s">
        <v>193</v>
      </c>
      <c r="E11" s="27" t="s">
        <v>194</v>
      </c>
      <c r="F11" s="27" t="s">
        <v>195</v>
      </c>
      <c r="G11" s="28" t="s">
        <v>172</v>
      </c>
      <c r="H11" s="27" t="s">
        <v>196</v>
      </c>
    </row>
    <row r="12" customFormat="false" ht="6" hidden="false" customHeight="true" outlineLevel="0" collapsed="false">
      <c r="A12" s="4"/>
      <c r="B12" s="5"/>
      <c r="C12" s="5"/>
      <c r="D12" s="5"/>
      <c r="E12" s="5"/>
      <c r="F12" s="5"/>
      <c r="G12" s="5"/>
      <c r="H12" s="5"/>
    </row>
    <row r="13" customFormat="false" ht="24" hidden="false" customHeight="true" outlineLevel="0" collapsed="false">
      <c r="A13" s="6" t="s">
        <v>197</v>
      </c>
      <c r="B13" s="6"/>
      <c r="C13" s="6"/>
      <c r="D13" s="6"/>
      <c r="E13" s="6"/>
      <c r="F13" s="6"/>
      <c r="G13" s="6"/>
      <c r="H13" s="6"/>
    </row>
    <row r="14" customFormat="false" ht="24" hidden="false" customHeight="true" outlineLevel="0" collapsed="false">
      <c r="A14" s="24" t="s">
        <v>150</v>
      </c>
      <c r="B14" s="25" t="s">
        <v>151</v>
      </c>
      <c r="C14" s="25" t="s">
        <v>152</v>
      </c>
      <c r="D14" s="25" t="s">
        <v>153</v>
      </c>
      <c r="E14" s="25" t="s">
        <v>154</v>
      </c>
      <c r="F14" s="25" t="s">
        <v>155</v>
      </c>
      <c r="G14" s="25" t="s">
        <v>156</v>
      </c>
      <c r="H14" s="25" t="s">
        <v>157</v>
      </c>
    </row>
    <row r="15" customFormat="false" ht="79.5" hidden="false" customHeight="true" outlineLevel="0" collapsed="false">
      <c r="A15" s="26" t="s">
        <v>198</v>
      </c>
      <c r="B15" s="27" t="s">
        <v>199</v>
      </c>
      <c r="C15" s="27" t="s">
        <v>200</v>
      </c>
      <c r="D15" s="27" t="s">
        <v>201</v>
      </c>
      <c r="E15" s="27" t="s">
        <v>202</v>
      </c>
      <c r="F15" s="27" t="s">
        <v>203</v>
      </c>
      <c r="G15" s="28" t="s">
        <v>172</v>
      </c>
      <c r="H15" s="27" t="s">
        <v>204</v>
      </c>
    </row>
    <row r="16" customFormat="false" ht="79.5" hidden="false" customHeight="true" outlineLevel="0" collapsed="false">
      <c r="A16" s="26" t="s">
        <v>205</v>
      </c>
      <c r="B16" s="27" t="s">
        <v>206</v>
      </c>
      <c r="C16" s="27" t="s">
        <v>200</v>
      </c>
      <c r="D16" s="27" t="s">
        <v>161</v>
      </c>
      <c r="E16" s="27" t="s">
        <v>202</v>
      </c>
      <c r="F16" s="27" t="s">
        <v>207</v>
      </c>
      <c r="G16" s="28" t="s">
        <v>172</v>
      </c>
      <c r="H16" s="27" t="s">
        <v>208</v>
      </c>
    </row>
    <row r="17" customFormat="false" ht="79.5" hidden="false" customHeight="true" outlineLevel="0" collapsed="false">
      <c r="A17" s="26" t="s">
        <v>209</v>
      </c>
      <c r="B17" s="27" t="s">
        <v>210</v>
      </c>
      <c r="C17" s="27" t="s">
        <v>200</v>
      </c>
      <c r="D17" s="27" t="s">
        <v>193</v>
      </c>
      <c r="E17" s="27" t="s">
        <v>202</v>
      </c>
      <c r="F17" s="27" t="s">
        <v>211</v>
      </c>
      <c r="G17" s="28" t="s">
        <v>172</v>
      </c>
      <c r="H17" s="27" t="s">
        <v>212</v>
      </c>
    </row>
    <row r="18" customFormat="false" ht="79.5" hidden="false" customHeight="true" outlineLevel="0" collapsed="false">
      <c r="A18" s="26" t="s">
        <v>213</v>
      </c>
      <c r="B18" s="27" t="s">
        <v>214</v>
      </c>
      <c r="C18" s="27" t="s">
        <v>200</v>
      </c>
      <c r="D18" s="27" t="s">
        <v>193</v>
      </c>
      <c r="E18" s="27" t="s">
        <v>202</v>
      </c>
      <c r="F18" s="27" t="s">
        <v>215</v>
      </c>
      <c r="G18" s="28" t="s">
        <v>172</v>
      </c>
      <c r="H18" s="27" t="s">
        <v>216</v>
      </c>
    </row>
    <row r="19" customFormat="false" ht="79.5" hidden="false" customHeight="true" outlineLevel="0" collapsed="false">
      <c r="A19" s="26" t="s">
        <v>217</v>
      </c>
      <c r="B19" s="27" t="s">
        <v>218</v>
      </c>
      <c r="C19" s="27" t="s">
        <v>200</v>
      </c>
      <c r="D19" s="27" t="s">
        <v>193</v>
      </c>
      <c r="E19" s="27" t="s">
        <v>219</v>
      </c>
      <c r="F19" s="27" t="s">
        <v>220</v>
      </c>
      <c r="G19" s="28" t="s">
        <v>172</v>
      </c>
      <c r="H19" s="27" t="s">
        <v>221</v>
      </c>
    </row>
    <row r="20" customFormat="false" ht="79.5" hidden="false" customHeight="true" outlineLevel="0" collapsed="false">
      <c r="A20" s="26" t="s">
        <v>222</v>
      </c>
      <c r="B20" s="27" t="s">
        <v>223</v>
      </c>
      <c r="C20" s="27" t="s">
        <v>200</v>
      </c>
      <c r="D20" s="27" t="s">
        <v>193</v>
      </c>
      <c r="E20" s="27" t="s">
        <v>202</v>
      </c>
      <c r="F20" s="27" t="s">
        <v>224</v>
      </c>
      <c r="G20" s="28" t="s">
        <v>172</v>
      </c>
      <c r="H20" s="27" t="s">
        <v>225</v>
      </c>
    </row>
    <row r="21" customFormat="false" ht="79.5" hidden="false" customHeight="true" outlineLevel="0" collapsed="false">
      <c r="A21" s="26" t="s">
        <v>226</v>
      </c>
      <c r="B21" s="27" t="s">
        <v>227</v>
      </c>
      <c r="C21" s="27" t="s">
        <v>200</v>
      </c>
      <c r="D21" s="27" t="s">
        <v>193</v>
      </c>
      <c r="E21" s="27" t="s">
        <v>228</v>
      </c>
      <c r="F21" s="27" t="s">
        <v>229</v>
      </c>
      <c r="G21" s="28" t="s">
        <v>172</v>
      </c>
      <c r="H21" s="27" t="s">
        <v>230</v>
      </c>
    </row>
    <row r="22" customFormat="false" ht="79.5" hidden="false" customHeight="true" outlineLevel="0" collapsed="false">
      <c r="A22" s="26" t="s">
        <v>231</v>
      </c>
      <c r="B22" s="27" t="s">
        <v>232</v>
      </c>
      <c r="C22" s="27" t="s">
        <v>200</v>
      </c>
      <c r="D22" s="27" t="s">
        <v>193</v>
      </c>
      <c r="E22" s="27" t="s">
        <v>202</v>
      </c>
      <c r="F22" s="27" t="s">
        <v>233</v>
      </c>
      <c r="G22" s="28" t="s">
        <v>172</v>
      </c>
      <c r="H22" s="27" t="s">
        <v>234</v>
      </c>
    </row>
    <row r="23" customFormat="false" ht="6" hidden="false" customHeight="true" outlineLevel="0" collapsed="false">
      <c r="A23" s="4"/>
      <c r="B23" s="5"/>
      <c r="C23" s="5"/>
      <c r="D23" s="5"/>
      <c r="E23" s="5"/>
      <c r="F23" s="5"/>
      <c r="G23" s="5"/>
      <c r="H23" s="5"/>
    </row>
    <row r="24" customFormat="false" ht="24" hidden="false" customHeight="true" outlineLevel="0" collapsed="false">
      <c r="A24" s="6" t="s">
        <v>149</v>
      </c>
      <c r="B24" s="6"/>
      <c r="C24" s="6"/>
      <c r="D24" s="6"/>
      <c r="E24" s="6"/>
      <c r="F24" s="6"/>
      <c r="G24" s="6"/>
      <c r="H24" s="6"/>
    </row>
  </sheetData>
  <mergeCells count="5">
    <mergeCell ref="A1:H1"/>
    <mergeCell ref="A2:H2"/>
    <mergeCell ref="A4:H4"/>
    <mergeCell ref="A13:H13"/>
    <mergeCell ref="A24:H24"/>
  </mergeCells>
  <printOptions headings="false" gridLines="false" gridLinesSet="true" horizontalCentered="false" verticalCentered="false"/>
  <pageMargins left="0.4" right="0.4" top="0.5" bottom="0.5" header="0.25" footer="0.25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&amp;CWillis Holdings</oddHeader>
    <oddFooter>&amp;CCONFIDENTIAL  | 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472C4"/>
    <pageSetUpPr fitToPage="false"/>
  </sheetPr>
  <dimension ref="A1:I9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25"/>
    <col collapsed="false" customWidth="true" hidden="false" outlineLevel="0" max="2" min="2" style="1" width="22"/>
    <col collapsed="false" customWidth="true" hidden="false" outlineLevel="0" max="3" min="3" style="1" width="14"/>
    <col collapsed="false" customWidth="true" hidden="false" outlineLevel="0" max="8" min="4" style="1" width="12"/>
    <col collapsed="false" customWidth="true" hidden="false" outlineLevel="0" max="9" min="9" style="1" width="28"/>
  </cols>
  <sheetData>
    <row r="1" customFormat="false" ht="24" hidden="false" customHeight="true" outlineLevel="0" collapsed="false">
      <c r="A1" s="29" t="s">
        <v>235</v>
      </c>
    </row>
    <row r="2" customFormat="false" ht="21.75" hidden="false" customHeight="true" outlineLevel="0" collapsed="false">
      <c r="A2" s="23" t="s">
        <v>236</v>
      </c>
      <c r="B2" s="23"/>
      <c r="C2" s="23"/>
      <c r="D2" s="23"/>
      <c r="E2" s="23"/>
      <c r="F2" s="23"/>
      <c r="G2" s="23"/>
      <c r="H2" s="23"/>
      <c r="I2" s="23"/>
    </row>
    <row r="3" customFormat="false" ht="6" hidden="false" customHeight="true" outlineLevel="0" collapsed="false">
      <c r="A3" s="4"/>
      <c r="B3" s="5"/>
      <c r="C3" s="5"/>
      <c r="D3" s="5"/>
      <c r="E3" s="5"/>
      <c r="F3" s="5"/>
      <c r="G3" s="5"/>
      <c r="H3" s="5"/>
      <c r="I3" s="5"/>
    </row>
    <row r="4" customFormat="false" ht="24" hidden="false" customHeight="true" outlineLevel="0" collapsed="false">
      <c r="A4" s="6" t="s">
        <v>237</v>
      </c>
      <c r="B4" s="6"/>
      <c r="C4" s="6"/>
      <c r="D4" s="6"/>
      <c r="E4" s="6"/>
      <c r="F4" s="6"/>
      <c r="G4" s="6"/>
      <c r="H4" s="6"/>
      <c r="I4" s="6"/>
    </row>
    <row r="5" customFormat="false" ht="60" hidden="false" customHeight="true" outlineLevel="0" collapsed="false">
      <c r="A5" s="30" t="s">
        <v>238</v>
      </c>
      <c r="B5" s="30"/>
      <c r="C5" s="30"/>
      <c r="D5" s="30"/>
      <c r="E5" s="30"/>
      <c r="F5" s="30"/>
      <c r="G5" s="30"/>
      <c r="H5" s="30"/>
      <c r="I5" s="30"/>
    </row>
    <row r="6" customFormat="false" ht="6" hidden="false" customHeight="true" outlineLevel="0" collapsed="false">
      <c r="A6" s="4"/>
      <c r="B6" s="5"/>
      <c r="C6" s="5"/>
      <c r="D6" s="5"/>
      <c r="E6" s="5"/>
      <c r="F6" s="5"/>
      <c r="G6" s="5"/>
      <c r="H6" s="5"/>
      <c r="I6" s="5"/>
    </row>
    <row r="7" customFormat="false" ht="18" hidden="false" customHeight="true" outlineLevel="0" collapsed="false">
      <c r="A7" s="31" t="s">
        <v>239</v>
      </c>
      <c r="B7" s="32" t="s">
        <v>105</v>
      </c>
      <c r="C7" s="32" t="s">
        <v>240</v>
      </c>
      <c r="D7" s="32" t="s">
        <v>6</v>
      </c>
      <c r="E7" s="32" t="s">
        <v>7</v>
      </c>
      <c r="F7" s="32" t="s">
        <v>241</v>
      </c>
      <c r="G7" s="32" t="s">
        <v>8</v>
      </c>
      <c r="H7" s="32" t="s">
        <v>10</v>
      </c>
      <c r="I7" s="32" t="s">
        <v>242</v>
      </c>
    </row>
    <row r="8" customFormat="false" ht="45.75" hidden="false" customHeight="true" outlineLevel="0" collapsed="false">
      <c r="A8" s="33" t="s">
        <v>243</v>
      </c>
      <c r="B8" s="34" t="s">
        <v>108</v>
      </c>
      <c r="C8" s="34" t="s">
        <v>244</v>
      </c>
      <c r="D8" s="34" t="s">
        <v>245</v>
      </c>
      <c r="E8" s="34" t="s">
        <v>246</v>
      </c>
      <c r="F8" s="34" t="n">
        <v>117</v>
      </c>
      <c r="G8" s="34" t="n">
        <v>117</v>
      </c>
      <c r="H8" s="34" t="n">
        <v>597</v>
      </c>
      <c r="I8" s="34" t="s">
        <v>231</v>
      </c>
    </row>
    <row r="9" customFormat="false" ht="45.75" hidden="false" customHeight="true" outlineLevel="0" collapsed="false">
      <c r="A9" s="33" t="s">
        <v>247</v>
      </c>
      <c r="B9" s="34" t="s">
        <v>111</v>
      </c>
      <c r="C9" s="34" t="s">
        <v>248</v>
      </c>
      <c r="D9" s="34" t="s">
        <v>249</v>
      </c>
      <c r="E9" s="34" t="s">
        <v>250</v>
      </c>
      <c r="F9" s="34" t="n">
        <v>109</v>
      </c>
      <c r="G9" s="34" t="n">
        <v>109</v>
      </c>
      <c r="H9" s="34" t="n">
        <v>296</v>
      </c>
      <c r="I9" s="34" t="s">
        <v>231</v>
      </c>
    </row>
    <row r="10" customFormat="false" ht="57" hidden="false" customHeight="true" outlineLevel="0" collapsed="false">
      <c r="A10" s="35" t="s">
        <v>251</v>
      </c>
      <c r="B10" s="36" t="s">
        <v>252</v>
      </c>
      <c r="C10" s="27" t="s">
        <v>253</v>
      </c>
      <c r="D10" s="27" t="s">
        <v>254</v>
      </c>
      <c r="E10" s="27" t="s">
        <v>16</v>
      </c>
      <c r="F10" s="27" t="s">
        <v>17</v>
      </c>
      <c r="G10" s="27" t="s">
        <v>17</v>
      </c>
      <c r="H10" s="27" t="s">
        <v>19</v>
      </c>
      <c r="I10" s="27" t="s">
        <v>231</v>
      </c>
    </row>
    <row r="11" customFormat="false" ht="6" hidden="false" customHeight="true" outlineLevel="0" collapsed="false">
      <c r="A11" s="4"/>
      <c r="B11" s="5"/>
      <c r="C11" s="5"/>
      <c r="D11" s="5"/>
      <c r="E11" s="5"/>
      <c r="F11" s="5"/>
      <c r="G11" s="5"/>
      <c r="H11" s="5"/>
      <c r="I11" s="5"/>
    </row>
    <row r="12" customFormat="false" ht="60" hidden="false" customHeight="true" outlineLevel="0" collapsed="false">
      <c r="A12" s="30" t="s">
        <v>255</v>
      </c>
      <c r="B12" s="30"/>
      <c r="C12" s="30"/>
      <c r="D12" s="30"/>
      <c r="E12" s="30"/>
      <c r="F12" s="30"/>
      <c r="G12" s="30"/>
      <c r="H12" s="30"/>
      <c r="I12" s="30"/>
    </row>
    <row r="13" customFormat="false" ht="6" hidden="false" customHeight="true" outlineLevel="0" collapsed="false">
      <c r="A13" s="4"/>
      <c r="B13" s="5"/>
      <c r="C13" s="5"/>
      <c r="D13" s="5"/>
      <c r="E13" s="5"/>
      <c r="F13" s="5"/>
      <c r="G13" s="5"/>
      <c r="H13" s="5"/>
      <c r="I13" s="5"/>
    </row>
    <row r="14" customFormat="false" ht="24" hidden="false" customHeight="true" outlineLevel="0" collapsed="false">
      <c r="A14" s="37" t="s">
        <v>256</v>
      </c>
      <c r="B14" s="37"/>
      <c r="C14" s="37"/>
      <c r="D14" s="37"/>
      <c r="E14" s="37"/>
      <c r="F14" s="37"/>
      <c r="G14" s="37"/>
      <c r="H14" s="37"/>
      <c r="I14" s="37"/>
    </row>
    <row r="15" customFormat="false" ht="60" hidden="false" customHeight="true" outlineLevel="0" collapsed="false">
      <c r="A15" s="30" t="s">
        <v>257</v>
      </c>
      <c r="B15" s="30"/>
      <c r="C15" s="30"/>
      <c r="D15" s="30"/>
      <c r="E15" s="30"/>
      <c r="F15" s="30"/>
      <c r="G15" s="30"/>
      <c r="H15" s="30"/>
      <c r="I15" s="30"/>
    </row>
    <row r="16" customFormat="false" ht="6" hidden="false" customHeight="true" outlineLevel="0" collapsed="false">
      <c r="A16" s="4"/>
      <c r="B16" s="5"/>
      <c r="C16" s="5"/>
      <c r="D16" s="5"/>
      <c r="E16" s="5"/>
      <c r="F16" s="5"/>
      <c r="G16" s="5"/>
      <c r="H16" s="5"/>
      <c r="I16" s="5"/>
    </row>
    <row r="17" customFormat="false" ht="18" hidden="false" customHeight="true" outlineLevel="0" collapsed="false">
      <c r="A17" s="31" t="s">
        <v>239</v>
      </c>
      <c r="B17" s="32" t="s">
        <v>105</v>
      </c>
      <c r="C17" s="32" t="s">
        <v>240</v>
      </c>
      <c r="D17" s="32" t="s">
        <v>6</v>
      </c>
      <c r="E17" s="32" t="s">
        <v>7</v>
      </c>
      <c r="F17" s="32" t="s">
        <v>241</v>
      </c>
      <c r="G17" s="32" t="s">
        <v>8</v>
      </c>
      <c r="H17" s="32" t="s">
        <v>10</v>
      </c>
      <c r="I17" s="32" t="s">
        <v>242</v>
      </c>
    </row>
    <row r="18" customFormat="false" ht="18" hidden="false" customHeight="true" outlineLevel="0" collapsed="false">
      <c r="A18" s="33" t="s">
        <v>243</v>
      </c>
      <c r="B18" s="34" t="s">
        <v>108</v>
      </c>
      <c r="C18" s="34" t="s">
        <v>258</v>
      </c>
      <c r="D18" s="34" t="s">
        <v>259</v>
      </c>
      <c r="E18" s="34" t="s">
        <v>260</v>
      </c>
      <c r="F18" s="34" t="n">
        <v>148</v>
      </c>
      <c r="G18" s="34" t="n">
        <v>148</v>
      </c>
      <c r="H18" s="34" t="n">
        <v>562</v>
      </c>
      <c r="I18" s="34" t="s">
        <v>231</v>
      </c>
    </row>
    <row r="19" customFormat="false" ht="18" hidden="false" customHeight="true" outlineLevel="0" collapsed="false">
      <c r="A19" s="33" t="s">
        <v>247</v>
      </c>
      <c r="B19" s="34" t="s">
        <v>111</v>
      </c>
      <c r="C19" s="34" t="s">
        <v>258</v>
      </c>
      <c r="D19" s="34" t="s">
        <v>261</v>
      </c>
      <c r="E19" s="34" t="s">
        <v>262</v>
      </c>
      <c r="F19" s="34" t="n">
        <v>233</v>
      </c>
      <c r="G19" s="34" t="n">
        <v>233</v>
      </c>
      <c r="H19" s="34" t="n">
        <v>592</v>
      </c>
      <c r="I19" s="34" t="s">
        <v>231</v>
      </c>
    </row>
    <row r="20" customFormat="false" ht="57" hidden="false" customHeight="true" outlineLevel="0" collapsed="false">
      <c r="A20" s="35" t="s">
        <v>251</v>
      </c>
      <c r="B20" s="36" t="s">
        <v>252</v>
      </c>
      <c r="C20" s="27" t="s">
        <v>263</v>
      </c>
      <c r="D20" s="27" t="s">
        <v>264</v>
      </c>
      <c r="E20" s="27" t="s">
        <v>25</v>
      </c>
      <c r="F20" s="27" t="s">
        <v>26</v>
      </c>
      <c r="G20" s="27" t="s">
        <v>26</v>
      </c>
      <c r="H20" s="27" t="s">
        <v>265</v>
      </c>
      <c r="I20" s="27" t="s">
        <v>231</v>
      </c>
    </row>
    <row r="21" customFormat="false" ht="6" hidden="false" customHeight="true" outlineLevel="0" collapsed="false">
      <c r="A21" s="4"/>
      <c r="B21" s="5"/>
      <c r="C21" s="5"/>
      <c r="D21" s="5"/>
      <c r="E21" s="5"/>
      <c r="F21" s="5"/>
      <c r="G21" s="5"/>
      <c r="H21" s="5"/>
      <c r="I21" s="5"/>
    </row>
    <row r="22" customFormat="false" ht="60" hidden="false" customHeight="true" outlineLevel="0" collapsed="false">
      <c r="A22" s="30" t="s">
        <v>266</v>
      </c>
      <c r="B22" s="30"/>
      <c r="C22" s="30"/>
      <c r="D22" s="30"/>
      <c r="E22" s="30"/>
      <c r="F22" s="30"/>
      <c r="G22" s="30"/>
      <c r="H22" s="30"/>
      <c r="I22" s="30"/>
    </row>
    <row r="23" customFormat="false" ht="6" hidden="false" customHeight="true" outlineLevel="0" collapsed="false">
      <c r="A23" s="4"/>
      <c r="B23" s="5"/>
      <c r="C23" s="5"/>
      <c r="D23" s="5"/>
      <c r="E23" s="5"/>
      <c r="F23" s="5"/>
      <c r="G23" s="5"/>
      <c r="H23" s="5"/>
      <c r="I23" s="5"/>
    </row>
    <row r="24" customFormat="false" ht="24" hidden="false" customHeight="true" outlineLevel="0" collapsed="false">
      <c r="A24" s="6" t="s">
        <v>267</v>
      </c>
      <c r="B24" s="6"/>
      <c r="C24" s="6"/>
      <c r="D24" s="6"/>
      <c r="E24" s="6"/>
      <c r="F24" s="6"/>
      <c r="G24" s="6"/>
      <c r="H24" s="6"/>
      <c r="I24" s="6"/>
    </row>
    <row r="25" customFormat="false" ht="60" hidden="false" customHeight="true" outlineLevel="0" collapsed="false">
      <c r="A25" s="30" t="s">
        <v>268</v>
      </c>
      <c r="B25" s="30"/>
      <c r="C25" s="30"/>
      <c r="D25" s="30"/>
      <c r="E25" s="30"/>
      <c r="F25" s="30"/>
      <c r="G25" s="30"/>
      <c r="H25" s="30"/>
      <c r="I25" s="30"/>
    </row>
    <row r="26" customFormat="false" ht="6" hidden="false" customHeight="true" outlineLevel="0" collapsed="false">
      <c r="A26" s="4"/>
      <c r="B26" s="5"/>
      <c r="C26" s="5"/>
      <c r="D26" s="5"/>
      <c r="E26" s="5"/>
      <c r="F26" s="5"/>
      <c r="G26" s="5"/>
      <c r="H26" s="5"/>
      <c r="I26" s="5"/>
    </row>
    <row r="27" customFormat="false" ht="18" hidden="false" customHeight="true" outlineLevel="0" collapsed="false">
      <c r="A27" s="31" t="s">
        <v>239</v>
      </c>
      <c r="B27" s="32" t="s">
        <v>105</v>
      </c>
      <c r="C27" s="32" t="s">
        <v>240</v>
      </c>
      <c r="D27" s="32" t="s">
        <v>6</v>
      </c>
      <c r="E27" s="32" t="s">
        <v>7</v>
      </c>
      <c r="F27" s="32" t="s">
        <v>241</v>
      </c>
      <c r="G27" s="32" t="s">
        <v>8</v>
      </c>
      <c r="H27" s="32" t="s">
        <v>10</v>
      </c>
      <c r="I27" s="32" t="s">
        <v>242</v>
      </c>
    </row>
    <row r="28" customFormat="false" ht="45.75" hidden="false" customHeight="true" outlineLevel="0" collapsed="false">
      <c r="A28" s="33" t="s">
        <v>243</v>
      </c>
      <c r="B28" s="34" t="s">
        <v>108</v>
      </c>
      <c r="C28" s="34" t="s">
        <v>269</v>
      </c>
      <c r="D28" s="34" t="s">
        <v>270</v>
      </c>
      <c r="E28" s="34" t="s">
        <v>271</v>
      </c>
      <c r="F28" s="34" t="n">
        <v>733</v>
      </c>
      <c r="G28" s="34" t="n">
        <v>733</v>
      </c>
      <c r="H28" s="34" t="n">
        <v>1356</v>
      </c>
      <c r="I28" s="34" t="s">
        <v>231</v>
      </c>
    </row>
    <row r="29" customFormat="false" ht="18" hidden="false" customHeight="true" outlineLevel="0" collapsed="false">
      <c r="A29" s="33" t="s">
        <v>247</v>
      </c>
      <c r="B29" s="34" t="s">
        <v>111</v>
      </c>
      <c r="C29" s="34" t="s">
        <v>272</v>
      </c>
      <c r="D29" s="34" t="s">
        <v>273</v>
      </c>
      <c r="E29" s="34" t="s">
        <v>274</v>
      </c>
      <c r="F29" s="34" t="n">
        <v>587</v>
      </c>
      <c r="G29" s="34" t="n">
        <v>587</v>
      </c>
      <c r="H29" s="34" t="n">
        <v>810</v>
      </c>
      <c r="I29" s="34" t="s">
        <v>198</v>
      </c>
    </row>
    <row r="30" customFormat="false" ht="18" hidden="false" customHeight="true" outlineLevel="0" collapsed="false">
      <c r="A30" s="33" t="s">
        <v>275</v>
      </c>
      <c r="B30" s="34" t="s">
        <v>114</v>
      </c>
      <c r="C30" s="34" t="s">
        <v>276</v>
      </c>
      <c r="D30" s="34" t="s">
        <v>277</v>
      </c>
      <c r="E30" s="34" t="s">
        <v>278</v>
      </c>
      <c r="F30" s="34" t="n">
        <v>322</v>
      </c>
      <c r="G30" s="34" t="n">
        <v>322</v>
      </c>
      <c r="H30" s="34" t="n">
        <v>438</v>
      </c>
      <c r="I30" s="34" t="s">
        <v>198</v>
      </c>
    </row>
    <row r="31" customFormat="false" ht="57" hidden="false" customHeight="true" outlineLevel="0" collapsed="false">
      <c r="A31" s="35" t="s">
        <v>279</v>
      </c>
      <c r="B31" s="36" t="s">
        <v>252</v>
      </c>
      <c r="C31" s="27" t="s">
        <v>280</v>
      </c>
      <c r="D31" s="27" t="s">
        <v>33</v>
      </c>
      <c r="E31" s="27" t="s">
        <v>34</v>
      </c>
      <c r="F31" s="27" t="n">
        <v>1642</v>
      </c>
      <c r="G31" s="27" t="n">
        <v>1642</v>
      </c>
      <c r="H31" s="27" t="n">
        <v>2604</v>
      </c>
      <c r="I31" s="27" t="s">
        <v>281</v>
      </c>
    </row>
    <row r="32" customFormat="false" ht="6" hidden="false" customHeight="true" outlineLevel="0" collapsed="false">
      <c r="A32" s="4"/>
      <c r="B32" s="5"/>
      <c r="C32" s="5"/>
      <c r="D32" s="5"/>
      <c r="E32" s="5"/>
      <c r="F32" s="5"/>
      <c r="G32" s="5"/>
      <c r="H32" s="5"/>
      <c r="I32" s="5"/>
    </row>
    <row r="33" customFormat="false" ht="60" hidden="false" customHeight="true" outlineLevel="0" collapsed="false">
      <c r="A33" s="30" t="s">
        <v>282</v>
      </c>
      <c r="B33" s="30"/>
      <c r="C33" s="30"/>
      <c r="D33" s="30"/>
      <c r="E33" s="30"/>
      <c r="F33" s="30"/>
      <c r="G33" s="30"/>
      <c r="H33" s="30"/>
      <c r="I33" s="30"/>
    </row>
    <row r="34" customFormat="false" ht="6" hidden="false" customHeight="true" outlineLevel="0" collapsed="false">
      <c r="A34" s="4"/>
      <c r="B34" s="5"/>
      <c r="C34" s="5"/>
      <c r="D34" s="5"/>
      <c r="E34" s="5"/>
      <c r="F34" s="5"/>
      <c r="G34" s="5"/>
      <c r="H34" s="5"/>
      <c r="I34" s="5"/>
    </row>
    <row r="35" customFormat="false" ht="24" hidden="false" customHeight="true" outlineLevel="0" collapsed="false">
      <c r="A35" s="6" t="s">
        <v>283</v>
      </c>
      <c r="B35" s="6"/>
      <c r="C35" s="6"/>
      <c r="D35" s="6"/>
      <c r="E35" s="6"/>
      <c r="F35" s="6"/>
      <c r="G35" s="6"/>
      <c r="H35" s="6"/>
      <c r="I35" s="6"/>
    </row>
    <row r="36" customFormat="false" ht="60" hidden="false" customHeight="true" outlineLevel="0" collapsed="false">
      <c r="A36" s="30" t="s">
        <v>284</v>
      </c>
      <c r="B36" s="30"/>
      <c r="C36" s="30"/>
      <c r="D36" s="30"/>
      <c r="E36" s="30"/>
      <c r="F36" s="30"/>
      <c r="G36" s="30"/>
      <c r="H36" s="30"/>
      <c r="I36" s="30"/>
    </row>
    <row r="37" customFormat="false" ht="6" hidden="false" customHeight="true" outlineLevel="0" collapsed="false">
      <c r="A37" s="4"/>
      <c r="B37" s="5"/>
      <c r="C37" s="5"/>
      <c r="D37" s="5"/>
      <c r="E37" s="5"/>
      <c r="F37" s="5"/>
      <c r="G37" s="5"/>
      <c r="H37" s="5"/>
      <c r="I37" s="5"/>
    </row>
    <row r="38" customFormat="false" ht="24" hidden="false" customHeight="true" outlineLevel="0" collapsed="false">
      <c r="A38" s="6" t="s">
        <v>285</v>
      </c>
      <c r="B38" s="6"/>
      <c r="C38" s="6"/>
      <c r="D38" s="6"/>
      <c r="E38" s="6"/>
      <c r="F38" s="6"/>
      <c r="G38" s="6"/>
      <c r="H38" s="6"/>
      <c r="I38" s="6"/>
    </row>
    <row r="39" customFormat="false" ht="60" hidden="false" customHeight="true" outlineLevel="0" collapsed="false">
      <c r="A39" s="30" t="s">
        <v>286</v>
      </c>
      <c r="B39" s="30"/>
      <c r="C39" s="30"/>
      <c r="D39" s="30"/>
      <c r="E39" s="30"/>
      <c r="F39" s="30"/>
      <c r="G39" s="30"/>
      <c r="H39" s="30"/>
      <c r="I39" s="30"/>
    </row>
    <row r="40" customFormat="false" ht="6" hidden="false" customHeight="true" outlineLevel="0" collapsed="false">
      <c r="A40" s="4"/>
      <c r="B40" s="5"/>
      <c r="C40" s="5"/>
      <c r="D40" s="5"/>
      <c r="E40" s="5"/>
      <c r="F40" s="5"/>
      <c r="G40" s="5"/>
      <c r="H40" s="5"/>
      <c r="I40" s="5"/>
    </row>
    <row r="41" customFormat="false" ht="24" hidden="false" customHeight="true" outlineLevel="0" collapsed="false">
      <c r="A41" s="38" t="s">
        <v>287</v>
      </c>
      <c r="B41" s="38"/>
      <c r="C41" s="38"/>
      <c r="D41" s="38"/>
      <c r="E41" s="38"/>
      <c r="F41" s="38"/>
      <c r="G41" s="38"/>
      <c r="H41" s="38"/>
      <c r="I41" s="38"/>
    </row>
    <row r="42" customFormat="false" ht="60" hidden="false" customHeight="true" outlineLevel="0" collapsed="false">
      <c r="A42" s="30" t="s">
        <v>288</v>
      </c>
      <c r="B42" s="30"/>
      <c r="C42" s="30"/>
      <c r="D42" s="30"/>
      <c r="E42" s="30"/>
      <c r="F42" s="30"/>
      <c r="G42" s="30"/>
      <c r="H42" s="30"/>
      <c r="I42" s="30"/>
    </row>
    <row r="43" customFormat="false" ht="6" hidden="false" customHeight="true" outlineLevel="0" collapsed="false">
      <c r="A43" s="4"/>
      <c r="B43" s="5"/>
      <c r="C43" s="5"/>
      <c r="D43" s="5"/>
      <c r="E43" s="5"/>
      <c r="F43" s="5"/>
      <c r="G43" s="5"/>
      <c r="H43" s="5"/>
      <c r="I43" s="5"/>
    </row>
    <row r="44" customFormat="false" ht="24" hidden="false" customHeight="true" outlineLevel="0" collapsed="false">
      <c r="A44" s="6" t="s">
        <v>289</v>
      </c>
      <c r="B44" s="6"/>
      <c r="C44" s="6"/>
      <c r="D44" s="6"/>
      <c r="E44" s="6"/>
      <c r="F44" s="6"/>
      <c r="G44" s="6"/>
      <c r="H44" s="6"/>
      <c r="I44" s="6"/>
    </row>
    <row r="45" customFormat="false" ht="18" hidden="false" customHeight="true" outlineLevel="0" collapsed="false">
      <c r="A45" s="31" t="s">
        <v>150</v>
      </c>
      <c r="B45" s="32" t="s">
        <v>290</v>
      </c>
      <c r="C45" s="32" t="s">
        <v>6</v>
      </c>
      <c r="D45" s="32" t="s">
        <v>7</v>
      </c>
      <c r="E45" s="32" t="s">
        <v>241</v>
      </c>
      <c r="F45" s="32" t="s">
        <v>8</v>
      </c>
      <c r="G45" s="32" t="s">
        <v>10</v>
      </c>
      <c r="H45" s="32" t="s">
        <v>11</v>
      </c>
      <c r="I45" s="32" t="s">
        <v>242</v>
      </c>
    </row>
    <row r="46" customFormat="false" ht="18" hidden="false" customHeight="true" outlineLevel="0" collapsed="false">
      <c r="A46" s="33" t="n">
        <v>1</v>
      </c>
      <c r="B46" s="34" t="s">
        <v>291</v>
      </c>
      <c r="C46" s="34" t="s">
        <v>292</v>
      </c>
      <c r="D46" s="34" t="s">
        <v>293</v>
      </c>
      <c r="E46" s="34" t="n">
        <v>8</v>
      </c>
      <c r="F46" s="34" t="n">
        <v>8</v>
      </c>
      <c r="G46" s="34" t="n">
        <v>42</v>
      </c>
      <c r="H46" s="34" t="n">
        <v>0.8</v>
      </c>
      <c r="I46" s="34" t="s">
        <v>205</v>
      </c>
    </row>
    <row r="47" customFormat="false" ht="18" hidden="false" customHeight="true" outlineLevel="0" collapsed="false">
      <c r="A47" s="33" t="n">
        <v>2</v>
      </c>
      <c r="B47" s="34" t="s">
        <v>294</v>
      </c>
      <c r="C47" s="34" t="s">
        <v>295</v>
      </c>
      <c r="D47" s="34" t="s">
        <v>296</v>
      </c>
      <c r="E47" s="34" t="n">
        <v>54</v>
      </c>
      <c r="F47" s="34" t="n">
        <v>54</v>
      </c>
      <c r="G47" s="34" t="n">
        <v>148</v>
      </c>
      <c r="H47" s="34" t="n">
        <v>2.8</v>
      </c>
      <c r="I47" s="34" t="s">
        <v>205</v>
      </c>
    </row>
    <row r="48" customFormat="false" ht="21.75" hidden="false" customHeight="true" outlineLevel="0" collapsed="false">
      <c r="A48" s="33" t="n">
        <v>3</v>
      </c>
      <c r="B48" s="34" t="s">
        <v>297</v>
      </c>
      <c r="C48" s="34" t="s">
        <v>298</v>
      </c>
      <c r="D48" s="34" t="s">
        <v>299</v>
      </c>
      <c r="E48" s="34" t="n">
        <v>26</v>
      </c>
      <c r="F48" s="34" t="n">
        <v>26</v>
      </c>
      <c r="G48" s="34" t="n">
        <v>73</v>
      </c>
      <c r="H48" s="34" t="n">
        <v>1.4</v>
      </c>
      <c r="I48" s="34" t="s">
        <v>300</v>
      </c>
    </row>
    <row r="49" customFormat="false" ht="18" hidden="false" customHeight="true" outlineLevel="0" collapsed="false">
      <c r="A49" s="33" t="n">
        <v>4</v>
      </c>
      <c r="B49" s="34" t="s">
        <v>301</v>
      </c>
      <c r="C49" s="34" t="s">
        <v>302</v>
      </c>
      <c r="D49" s="34" t="s">
        <v>303</v>
      </c>
      <c r="E49" s="34" t="n">
        <v>31</v>
      </c>
      <c r="F49" s="34" t="n">
        <v>31</v>
      </c>
      <c r="G49" s="34" t="n">
        <v>191</v>
      </c>
      <c r="H49" s="34" t="n">
        <v>3.7</v>
      </c>
      <c r="I49" s="34" t="s">
        <v>304</v>
      </c>
    </row>
    <row r="50" customFormat="false" ht="18" hidden="false" customHeight="true" outlineLevel="0" collapsed="false">
      <c r="A50" s="33" t="n">
        <v>5</v>
      </c>
      <c r="B50" s="34" t="s">
        <v>305</v>
      </c>
      <c r="C50" s="34" t="s">
        <v>245</v>
      </c>
      <c r="D50" s="34" t="s">
        <v>246</v>
      </c>
      <c r="E50" s="34" t="n">
        <v>117</v>
      </c>
      <c r="F50" s="34" t="n">
        <v>117</v>
      </c>
      <c r="G50" s="34" t="n">
        <v>597</v>
      </c>
      <c r="H50" s="34" t="n">
        <v>11.5</v>
      </c>
      <c r="I50" s="34" t="s">
        <v>231</v>
      </c>
    </row>
    <row r="51" customFormat="false" ht="18" hidden="false" customHeight="true" outlineLevel="0" collapsed="false">
      <c r="A51" s="33" t="n">
        <v>6</v>
      </c>
      <c r="B51" s="34" t="s">
        <v>306</v>
      </c>
      <c r="C51" s="34" t="s">
        <v>249</v>
      </c>
      <c r="D51" s="34" t="s">
        <v>250</v>
      </c>
      <c r="E51" s="34" t="n">
        <v>109</v>
      </c>
      <c r="F51" s="34" t="n">
        <v>109</v>
      </c>
      <c r="G51" s="34" t="n">
        <v>296</v>
      </c>
      <c r="H51" s="34" t="n">
        <v>5.7</v>
      </c>
      <c r="I51" s="34" t="s">
        <v>231</v>
      </c>
    </row>
    <row r="52" customFormat="false" ht="18" hidden="false" customHeight="true" outlineLevel="0" collapsed="false">
      <c r="A52" s="33" t="n">
        <v>7</v>
      </c>
      <c r="B52" s="34" t="s">
        <v>307</v>
      </c>
      <c r="C52" s="34" t="s">
        <v>308</v>
      </c>
      <c r="D52" s="34" t="s">
        <v>309</v>
      </c>
      <c r="E52" s="34" t="n">
        <v>13</v>
      </c>
      <c r="F52" s="34" t="n">
        <v>13</v>
      </c>
      <c r="G52" s="34" t="n">
        <v>29</v>
      </c>
      <c r="H52" s="34" t="n">
        <v>0.6</v>
      </c>
      <c r="I52" s="34" t="s">
        <v>205</v>
      </c>
    </row>
    <row r="53" customFormat="false" ht="18" hidden="false" customHeight="true" outlineLevel="0" collapsed="false">
      <c r="A53" s="33" t="n">
        <v>8</v>
      </c>
      <c r="B53" s="34" t="s">
        <v>310</v>
      </c>
      <c r="C53" s="34" t="s">
        <v>308</v>
      </c>
      <c r="D53" s="34" t="s">
        <v>311</v>
      </c>
      <c r="E53" s="34" t="n">
        <v>134</v>
      </c>
      <c r="F53" s="34" t="n">
        <v>134</v>
      </c>
      <c r="G53" s="34" t="n">
        <v>350</v>
      </c>
      <c r="H53" s="34" t="n">
        <v>6.7</v>
      </c>
      <c r="I53" s="34" t="s">
        <v>231</v>
      </c>
    </row>
    <row r="54" customFormat="false" ht="18" hidden="false" customHeight="true" outlineLevel="0" collapsed="false">
      <c r="A54" s="33" t="n">
        <v>9</v>
      </c>
      <c r="B54" s="34" t="s">
        <v>312</v>
      </c>
      <c r="C54" s="34" t="s">
        <v>313</v>
      </c>
      <c r="D54" s="34" t="s">
        <v>314</v>
      </c>
      <c r="E54" s="34" t="n">
        <v>16</v>
      </c>
      <c r="F54" s="34" t="n">
        <v>16</v>
      </c>
      <c r="G54" s="34" t="n">
        <v>50</v>
      </c>
      <c r="H54" s="34" t="n">
        <v>1</v>
      </c>
      <c r="I54" s="34" t="s">
        <v>198</v>
      </c>
    </row>
    <row r="55" customFormat="false" ht="24" hidden="false" customHeight="true" outlineLevel="0" collapsed="false">
      <c r="A55" s="6" t="s">
        <v>315</v>
      </c>
      <c r="B55" s="6"/>
      <c r="C55" s="6"/>
      <c r="D55" s="6"/>
      <c r="E55" s="6"/>
      <c r="F55" s="6"/>
      <c r="G55" s="6"/>
      <c r="H55" s="6"/>
      <c r="I55" s="6"/>
    </row>
    <row r="56" customFormat="false" ht="18" hidden="false" customHeight="true" outlineLevel="0" collapsed="false">
      <c r="A56" s="31" t="s">
        <v>150</v>
      </c>
      <c r="B56" s="32" t="s">
        <v>290</v>
      </c>
      <c r="C56" s="32" t="s">
        <v>6</v>
      </c>
      <c r="D56" s="32" t="s">
        <v>7</v>
      </c>
      <c r="E56" s="32" t="s">
        <v>241</v>
      </c>
      <c r="F56" s="32" t="s">
        <v>8</v>
      </c>
      <c r="G56" s="32" t="s">
        <v>10</v>
      </c>
      <c r="H56" s="32" t="s">
        <v>11</v>
      </c>
      <c r="I56" s="32" t="s">
        <v>242</v>
      </c>
    </row>
    <row r="57" customFormat="false" ht="18" hidden="false" customHeight="true" outlineLevel="0" collapsed="false">
      <c r="A57" s="39" t="n">
        <v>10</v>
      </c>
      <c r="B57" s="40" t="s">
        <v>316</v>
      </c>
      <c r="C57" s="40" t="s">
        <v>259</v>
      </c>
      <c r="D57" s="40" t="s">
        <v>260</v>
      </c>
      <c r="E57" s="40" t="n">
        <v>148</v>
      </c>
      <c r="F57" s="40" t="n">
        <v>148</v>
      </c>
      <c r="G57" s="40" t="n">
        <v>562</v>
      </c>
      <c r="H57" s="40" t="n">
        <v>10.8</v>
      </c>
      <c r="I57" s="40" t="s">
        <v>231</v>
      </c>
    </row>
    <row r="58" customFormat="false" ht="18" hidden="false" customHeight="true" outlineLevel="0" collapsed="false">
      <c r="A58" s="39" t="n">
        <v>11</v>
      </c>
      <c r="B58" s="40" t="s">
        <v>317</v>
      </c>
      <c r="C58" s="40" t="s">
        <v>259</v>
      </c>
      <c r="D58" s="40" t="s">
        <v>318</v>
      </c>
      <c r="E58" s="40" t="n">
        <v>140</v>
      </c>
      <c r="F58" s="40" t="n">
        <v>140</v>
      </c>
      <c r="G58" s="40" t="n">
        <v>326</v>
      </c>
      <c r="H58" s="40" t="n">
        <v>6.3</v>
      </c>
      <c r="I58" s="40" t="s">
        <v>231</v>
      </c>
    </row>
    <row r="59" customFormat="false" ht="18" hidden="false" customHeight="true" outlineLevel="0" collapsed="false">
      <c r="A59" s="39" t="n">
        <v>12</v>
      </c>
      <c r="B59" s="40" t="s">
        <v>319</v>
      </c>
      <c r="C59" s="40" t="s">
        <v>320</v>
      </c>
      <c r="D59" s="40" t="s">
        <v>321</v>
      </c>
      <c r="E59" s="40" t="n">
        <v>11</v>
      </c>
      <c r="F59" s="40" t="n">
        <v>11</v>
      </c>
      <c r="G59" s="40" t="n">
        <v>43</v>
      </c>
      <c r="H59" s="40" t="n">
        <v>0.8</v>
      </c>
      <c r="I59" s="40" t="s">
        <v>198</v>
      </c>
    </row>
    <row r="60" customFormat="false" ht="18" hidden="false" customHeight="true" outlineLevel="0" collapsed="false">
      <c r="A60" s="39" t="n">
        <v>13</v>
      </c>
      <c r="B60" s="40" t="s">
        <v>322</v>
      </c>
      <c r="C60" s="40" t="s">
        <v>323</v>
      </c>
      <c r="D60" s="40" t="s">
        <v>324</v>
      </c>
      <c r="E60" s="40" t="n">
        <v>54</v>
      </c>
      <c r="F60" s="40" t="n">
        <v>54</v>
      </c>
      <c r="G60" s="40" t="n">
        <v>121</v>
      </c>
      <c r="H60" s="40" t="n">
        <v>2.3</v>
      </c>
      <c r="I60" s="40" t="s">
        <v>226</v>
      </c>
    </row>
    <row r="61" customFormat="false" ht="18" hidden="false" customHeight="true" outlineLevel="0" collapsed="false">
      <c r="A61" s="39" t="n">
        <v>14</v>
      </c>
      <c r="B61" s="40" t="s">
        <v>325</v>
      </c>
      <c r="C61" s="40" t="s">
        <v>261</v>
      </c>
      <c r="D61" s="40" t="s">
        <v>262</v>
      </c>
      <c r="E61" s="40" t="n">
        <v>233</v>
      </c>
      <c r="F61" s="40" t="n">
        <v>233</v>
      </c>
      <c r="G61" s="40" t="n">
        <v>592</v>
      </c>
      <c r="H61" s="40" t="n">
        <v>11.4</v>
      </c>
      <c r="I61" s="40" t="s">
        <v>231</v>
      </c>
    </row>
    <row r="62" customFormat="false" ht="18" hidden="false" customHeight="true" outlineLevel="0" collapsed="false">
      <c r="A62" s="39" t="n">
        <v>15</v>
      </c>
      <c r="B62" s="40" t="s">
        <v>326</v>
      </c>
      <c r="C62" s="40" t="s">
        <v>327</v>
      </c>
      <c r="D62" s="40" t="s">
        <v>328</v>
      </c>
      <c r="E62" s="40" t="n">
        <v>20</v>
      </c>
      <c r="F62" s="40" t="n">
        <v>20</v>
      </c>
      <c r="G62" s="40" t="n">
        <v>73</v>
      </c>
      <c r="H62" s="40" t="n">
        <v>1.4</v>
      </c>
      <c r="I62" s="40" t="s">
        <v>205</v>
      </c>
    </row>
    <row r="63" customFormat="false" ht="18" hidden="false" customHeight="true" outlineLevel="0" collapsed="false">
      <c r="A63" s="39" t="n">
        <v>16</v>
      </c>
      <c r="B63" s="40" t="s">
        <v>329</v>
      </c>
      <c r="C63" s="40" t="s">
        <v>330</v>
      </c>
      <c r="D63" s="40" t="s">
        <v>331</v>
      </c>
      <c r="E63" s="40" t="n">
        <v>43</v>
      </c>
      <c r="F63" s="40" t="n">
        <v>43</v>
      </c>
      <c r="G63" s="40" t="n">
        <v>116</v>
      </c>
      <c r="H63" s="40" t="n">
        <v>2.2</v>
      </c>
      <c r="I63" s="40" t="s">
        <v>198</v>
      </c>
    </row>
    <row r="64" customFormat="false" ht="18" hidden="false" customHeight="true" outlineLevel="0" collapsed="false">
      <c r="A64" s="39" t="n">
        <v>17</v>
      </c>
      <c r="B64" s="40" t="s">
        <v>332</v>
      </c>
      <c r="C64" s="40" t="s">
        <v>333</v>
      </c>
      <c r="D64" s="40" t="s">
        <v>334</v>
      </c>
      <c r="E64" s="40" t="n">
        <v>59</v>
      </c>
      <c r="F64" s="40" t="n">
        <v>59</v>
      </c>
      <c r="G64" s="40" t="n">
        <v>122</v>
      </c>
      <c r="H64" s="40" t="n">
        <v>2.3</v>
      </c>
      <c r="I64" s="40" t="s">
        <v>205</v>
      </c>
    </row>
    <row r="65" customFormat="false" ht="18" hidden="false" customHeight="true" outlineLevel="0" collapsed="false">
      <c r="A65" s="39" t="n">
        <v>18</v>
      </c>
      <c r="B65" s="40" t="s">
        <v>335</v>
      </c>
      <c r="C65" s="40" t="s">
        <v>336</v>
      </c>
      <c r="D65" s="40" t="s">
        <v>337</v>
      </c>
      <c r="E65" s="40" t="n">
        <v>99</v>
      </c>
      <c r="F65" s="40" t="n">
        <v>99</v>
      </c>
      <c r="G65" s="40" t="n">
        <v>187</v>
      </c>
      <c r="H65" s="40" t="n">
        <v>3.6</v>
      </c>
      <c r="I65" s="40" t="s">
        <v>226</v>
      </c>
    </row>
    <row r="66" customFormat="false" ht="18" hidden="false" customHeight="true" outlineLevel="0" collapsed="false">
      <c r="A66" s="39" t="n">
        <v>19</v>
      </c>
      <c r="B66" s="40" t="s">
        <v>338</v>
      </c>
      <c r="C66" s="40" t="s">
        <v>339</v>
      </c>
      <c r="D66" s="40" t="s">
        <v>340</v>
      </c>
      <c r="E66" s="40" t="n">
        <v>108</v>
      </c>
      <c r="F66" s="40" t="n">
        <v>108</v>
      </c>
      <c r="G66" s="40" t="n">
        <v>255</v>
      </c>
      <c r="H66" s="40" t="n">
        <v>4.9</v>
      </c>
      <c r="I66" s="40" t="s">
        <v>198</v>
      </c>
    </row>
    <row r="67" customFormat="false" ht="18" hidden="false" customHeight="true" outlineLevel="0" collapsed="false">
      <c r="A67" s="39" t="n">
        <v>20</v>
      </c>
      <c r="B67" s="40" t="s">
        <v>341</v>
      </c>
      <c r="C67" s="40" t="s">
        <v>342</v>
      </c>
      <c r="D67" s="40" t="s">
        <v>343</v>
      </c>
      <c r="E67" s="40" t="n">
        <v>69</v>
      </c>
      <c r="F67" s="40" t="n">
        <v>69</v>
      </c>
      <c r="G67" s="40" t="n">
        <v>88</v>
      </c>
      <c r="H67" s="40" t="n">
        <v>1.7</v>
      </c>
      <c r="I67" s="40" t="s">
        <v>198</v>
      </c>
    </row>
    <row r="68" customFormat="false" ht="18" hidden="false" customHeight="true" outlineLevel="0" collapsed="false">
      <c r="A68" s="39" t="n">
        <v>21</v>
      </c>
      <c r="B68" s="40" t="s">
        <v>344</v>
      </c>
      <c r="C68" s="40" t="s">
        <v>345</v>
      </c>
      <c r="D68" s="40" t="s">
        <v>346</v>
      </c>
      <c r="E68" s="40" t="n">
        <v>22</v>
      </c>
      <c r="F68" s="40" t="n">
        <v>22</v>
      </c>
      <c r="G68" s="40" t="n">
        <v>53</v>
      </c>
      <c r="H68" s="40" t="n">
        <v>1</v>
      </c>
      <c r="I68" s="40" t="s">
        <v>198</v>
      </c>
    </row>
    <row r="69" customFormat="false" ht="18" hidden="false" customHeight="true" outlineLevel="0" collapsed="false">
      <c r="A69" s="39" t="n">
        <v>22</v>
      </c>
      <c r="B69" s="40" t="s">
        <v>347</v>
      </c>
      <c r="C69" s="40" t="s">
        <v>348</v>
      </c>
      <c r="D69" s="40" t="s">
        <v>349</v>
      </c>
      <c r="E69" s="40" t="n">
        <v>106</v>
      </c>
      <c r="F69" s="40" t="n">
        <v>106</v>
      </c>
      <c r="G69" s="40" t="n">
        <v>156</v>
      </c>
      <c r="H69" s="40" t="n">
        <v>3</v>
      </c>
      <c r="I69" s="40" t="s">
        <v>198</v>
      </c>
    </row>
    <row r="70" customFormat="false" ht="18" hidden="false" customHeight="true" outlineLevel="0" collapsed="false">
      <c r="A70" s="39" t="n">
        <v>23</v>
      </c>
      <c r="B70" s="40" t="s">
        <v>350</v>
      </c>
      <c r="C70" s="40" t="s">
        <v>351</v>
      </c>
      <c r="D70" s="40" t="s">
        <v>352</v>
      </c>
      <c r="E70" s="40" t="n">
        <v>113</v>
      </c>
      <c r="F70" s="40" t="n">
        <v>113</v>
      </c>
      <c r="G70" s="40" t="n">
        <v>149</v>
      </c>
      <c r="H70" s="40" t="n">
        <v>2.9</v>
      </c>
      <c r="I70" s="40" t="s">
        <v>198</v>
      </c>
    </row>
    <row r="71" customFormat="false" ht="21.75" hidden="false" customHeight="true" outlineLevel="0" collapsed="false">
      <c r="A71" s="39" t="n">
        <v>24</v>
      </c>
      <c r="B71" s="40" t="s">
        <v>353</v>
      </c>
      <c r="C71" s="40" t="s">
        <v>351</v>
      </c>
      <c r="D71" s="40" t="s">
        <v>354</v>
      </c>
      <c r="E71" s="40" t="n">
        <v>21</v>
      </c>
      <c r="F71" s="40" t="n">
        <v>21</v>
      </c>
      <c r="G71" s="40" t="n">
        <v>59</v>
      </c>
      <c r="H71" s="40" t="n">
        <v>1.1</v>
      </c>
      <c r="I71" s="40" t="s">
        <v>198</v>
      </c>
    </row>
    <row r="72" customFormat="false" ht="24" hidden="false" customHeight="true" outlineLevel="0" collapsed="false">
      <c r="A72" s="6" t="s">
        <v>355</v>
      </c>
      <c r="B72" s="6"/>
      <c r="C72" s="6"/>
      <c r="D72" s="6"/>
      <c r="E72" s="6"/>
      <c r="F72" s="6"/>
      <c r="G72" s="6"/>
      <c r="H72" s="6"/>
      <c r="I72" s="6"/>
    </row>
    <row r="73" customFormat="false" ht="18" hidden="false" customHeight="true" outlineLevel="0" collapsed="false">
      <c r="A73" s="31" t="s">
        <v>150</v>
      </c>
      <c r="B73" s="32" t="s">
        <v>290</v>
      </c>
      <c r="C73" s="32" t="s">
        <v>6</v>
      </c>
      <c r="D73" s="32" t="s">
        <v>7</v>
      </c>
      <c r="E73" s="32" t="s">
        <v>241</v>
      </c>
      <c r="F73" s="32" t="s">
        <v>8</v>
      </c>
      <c r="G73" s="32" t="s">
        <v>10</v>
      </c>
      <c r="H73" s="32" t="s">
        <v>11</v>
      </c>
      <c r="I73" s="32" t="s">
        <v>242</v>
      </c>
    </row>
    <row r="74" customFormat="false" ht="18" hidden="false" customHeight="true" outlineLevel="0" collapsed="false">
      <c r="A74" s="33" t="n">
        <v>25</v>
      </c>
      <c r="B74" s="34" t="s">
        <v>356</v>
      </c>
      <c r="C74" s="34" t="s">
        <v>357</v>
      </c>
      <c r="D74" s="34" t="s">
        <v>271</v>
      </c>
      <c r="E74" s="34" t="n">
        <v>67</v>
      </c>
      <c r="F74" s="34" t="n">
        <v>67</v>
      </c>
      <c r="G74" s="34" t="n">
        <v>124</v>
      </c>
      <c r="H74" s="34" t="n">
        <v>2.4</v>
      </c>
      <c r="I74" s="34" t="s">
        <v>205</v>
      </c>
    </row>
    <row r="75" customFormat="false" ht="18" hidden="false" customHeight="true" outlineLevel="0" collapsed="false">
      <c r="A75" s="33" t="n">
        <v>26</v>
      </c>
      <c r="B75" s="34" t="s">
        <v>358</v>
      </c>
      <c r="C75" s="34" t="s">
        <v>359</v>
      </c>
      <c r="D75" s="34" t="s">
        <v>360</v>
      </c>
      <c r="E75" s="34" t="n">
        <v>117</v>
      </c>
      <c r="F75" s="34" t="n">
        <v>117</v>
      </c>
      <c r="G75" s="34" t="n">
        <v>187</v>
      </c>
      <c r="H75" s="34" t="n">
        <v>3.6</v>
      </c>
      <c r="I75" s="34" t="s">
        <v>198</v>
      </c>
    </row>
    <row r="76" customFormat="false" ht="18" hidden="false" customHeight="true" outlineLevel="0" collapsed="false">
      <c r="A76" s="33" t="n">
        <v>27</v>
      </c>
      <c r="B76" s="34" t="s">
        <v>361</v>
      </c>
      <c r="C76" s="34" t="s">
        <v>273</v>
      </c>
      <c r="D76" s="34" t="s">
        <v>274</v>
      </c>
      <c r="E76" s="34" t="n">
        <v>587</v>
      </c>
      <c r="F76" s="34" t="n">
        <v>587</v>
      </c>
      <c r="G76" s="34" t="n">
        <v>810</v>
      </c>
      <c r="H76" s="34" t="n">
        <v>15.6</v>
      </c>
      <c r="I76" s="34" t="s">
        <v>198</v>
      </c>
    </row>
    <row r="77" customFormat="false" ht="18" hidden="false" customHeight="true" outlineLevel="0" collapsed="false">
      <c r="A77" s="33" t="n">
        <v>28</v>
      </c>
      <c r="B77" s="34" t="s">
        <v>362</v>
      </c>
      <c r="C77" s="34" t="s">
        <v>363</v>
      </c>
      <c r="D77" s="34" t="s">
        <v>364</v>
      </c>
      <c r="E77" s="34" t="n">
        <v>373</v>
      </c>
      <c r="F77" s="34" t="n">
        <v>373</v>
      </c>
      <c r="G77" s="34" t="n">
        <v>925</v>
      </c>
      <c r="H77" s="34" t="n">
        <v>17.8</v>
      </c>
      <c r="I77" s="34" t="s">
        <v>198</v>
      </c>
    </row>
    <row r="78" customFormat="false" ht="18" hidden="false" customHeight="true" outlineLevel="0" collapsed="false">
      <c r="A78" s="33" t="n">
        <v>29</v>
      </c>
      <c r="B78" s="34" t="s">
        <v>365</v>
      </c>
      <c r="C78" s="34" t="s">
        <v>366</v>
      </c>
      <c r="D78" s="34" t="s">
        <v>367</v>
      </c>
      <c r="E78" s="34" t="n">
        <v>396</v>
      </c>
      <c r="F78" s="34" t="n">
        <v>396</v>
      </c>
      <c r="G78" s="34" t="n">
        <v>883</v>
      </c>
      <c r="H78" s="34" t="n">
        <v>17</v>
      </c>
      <c r="I78" s="34" t="s">
        <v>198</v>
      </c>
    </row>
    <row r="79" customFormat="false" ht="18" hidden="false" customHeight="true" outlineLevel="0" collapsed="false">
      <c r="A79" s="33" t="n">
        <v>30</v>
      </c>
      <c r="B79" s="34" t="s">
        <v>368</v>
      </c>
      <c r="C79" s="34" t="s">
        <v>369</v>
      </c>
      <c r="D79" s="34" t="s">
        <v>370</v>
      </c>
      <c r="E79" s="34" t="n">
        <v>45</v>
      </c>
      <c r="F79" s="34" t="n">
        <v>45</v>
      </c>
      <c r="G79" s="34" t="n">
        <v>178</v>
      </c>
      <c r="H79" s="34" t="n">
        <v>3.4</v>
      </c>
      <c r="I79" s="34" t="s">
        <v>198</v>
      </c>
    </row>
    <row r="80" customFormat="false" ht="18" hidden="false" customHeight="true" outlineLevel="0" collapsed="false">
      <c r="A80" s="33" t="n">
        <v>31</v>
      </c>
      <c r="B80" s="34" t="s">
        <v>371</v>
      </c>
      <c r="C80" s="34" t="s">
        <v>372</v>
      </c>
      <c r="D80" s="34" t="s">
        <v>373</v>
      </c>
      <c r="E80" s="34" t="n">
        <v>23</v>
      </c>
      <c r="F80" s="34" t="n">
        <v>23</v>
      </c>
      <c r="G80" s="34" t="n">
        <v>84</v>
      </c>
      <c r="H80" s="34" t="n">
        <v>1.6</v>
      </c>
      <c r="I80" s="34" t="s">
        <v>198</v>
      </c>
    </row>
    <row r="81" customFormat="false" ht="18" hidden="false" customHeight="true" outlineLevel="0" collapsed="false">
      <c r="A81" s="33" t="n">
        <v>32</v>
      </c>
      <c r="B81" s="34" t="s">
        <v>374</v>
      </c>
      <c r="C81" s="34" t="s">
        <v>375</v>
      </c>
      <c r="D81" s="34" t="s">
        <v>376</v>
      </c>
      <c r="E81" s="34" t="n">
        <v>39</v>
      </c>
      <c r="F81" s="34" t="n">
        <v>39</v>
      </c>
      <c r="G81" s="34" t="n">
        <v>69</v>
      </c>
      <c r="H81" s="34" t="n">
        <v>1.3</v>
      </c>
      <c r="I81" s="34" t="s">
        <v>205</v>
      </c>
    </row>
    <row r="82" customFormat="false" ht="18" hidden="false" customHeight="true" outlineLevel="0" collapsed="false">
      <c r="A82" s="33" t="n">
        <v>33</v>
      </c>
      <c r="B82" s="34" t="s">
        <v>377</v>
      </c>
      <c r="C82" s="34" t="s">
        <v>270</v>
      </c>
      <c r="D82" s="34" t="s">
        <v>271</v>
      </c>
      <c r="E82" s="34" t="n">
        <v>733</v>
      </c>
      <c r="F82" s="34" t="n">
        <v>733</v>
      </c>
      <c r="G82" s="34" t="n">
        <v>1356</v>
      </c>
      <c r="H82" s="34" t="n">
        <v>26.1</v>
      </c>
      <c r="I82" s="34" t="s">
        <v>231</v>
      </c>
    </row>
    <row r="83" customFormat="false" ht="18" hidden="false" customHeight="true" outlineLevel="0" collapsed="false">
      <c r="A83" s="33" t="n">
        <v>34</v>
      </c>
      <c r="B83" s="34" t="s">
        <v>378</v>
      </c>
      <c r="C83" s="34" t="s">
        <v>379</v>
      </c>
      <c r="D83" s="34" t="s">
        <v>380</v>
      </c>
      <c r="E83" s="34" t="s">
        <v>381</v>
      </c>
      <c r="F83" s="34" t="s">
        <v>381</v>
      </c>
      <c r="G83" s="34" t="s">
        <v>381</v>
      </c>
      <c r="H83" s="34" t="s">
        <v>381</v>
      </c>
      <c r="I83" s="34" t="s">
        <v>217</v>
      </c>
    </row>
    <row r="84" customFormat="false" ht="18" hidden="false" customHeight="true" outlineLevel="0" collapsed="false">
      <c r="A84" s="33" t="n">
        <v>35</v>
      </c>
      <c r="B84" s="34" t="s">
        <v>382</v>
      </c>
      <c r="C84" s="34" t="s">
        <v>277</v>
      </c>
      <c r="D84" s="34" t="s">
        <v>278</v>
      </c>
      <c r="E84" s="34" t="n">
        <v>322</v>
      </c>
      <c r="F84" s="34" t="n">
        <v>322</v>
      </c>
      <c r="G84" s="34" t="n">
        <v>438</v>
      </c>
      <c r="H84" s="34" t="n">
        <v>8.4</v>
      </c>
      <c r="I84" s="34" t="s">
        <v>198</v>
      </c>
    </row>
    <row r="85" customFormat="false" ht="18" hidden="false" customHeight="true" outlineLevel="0" collapsed="false">
      <c r="A85" s="33" t="n">
        <v>36</v>
      </c>
      <c r="B85" s="34" t="s">
        <v>383</v>
      </c>
      <c r="C85" s="34" t="s">
        <v>384</v>
      </c>
      <c r="D85" s="34" t="s">
        <v>385</v>
      </c>
      <c r="E85" s="34" t="n">
        <v>8</v>
      </c>
      <c r="F85" s="34" t="n">
        <v>8</v>
      </c>
      <c r="G85" s="34" t="n">
        <v>37</v>
      </c>
      <c r="H85" s="34" t="n">
        <v>0.7</v>
      </c>
      <c r="I85" s="34" t="s">
        <v>209</v>
      </c>
    </row>
    <row r="86" customFormat="false" ht="6" hidden="false" customHeight="true" outlineLevel="0" collapsed="false">
      <c r="A86" s="4"/>
      <c r="B86" s="5"/>
      <c r="C86" s="5"/>
      <c r="D86" s="5"/>
      <c r="E86" s="5"/>
      <c r="F86" s="5"/>
      <c r="G86" s="5"/>
      <c r="H86" s="5"/>
      <c r="I86" s="5"/>
    </row>
    <row r="87" customFormat="false" ht="24" hidden="false" customHeight="true" outlineLevel="0" collapsed="false">
      <c r="A87" s="6" t="s">
        <v>386</v>
      </c>
      <c r="B87" s="6"/>
      <c r="C87" s="6"/>
      <c r="D87" s="6"/>
      <c r="E87" s="6"/>
      <c r="F87" s="6"/>
      <c r="G87" s="6"/>
      <c r="H87" s="6"/>
      <c r="I87" s="6"/>
    </row>
    <row r="88" customFormat="false" ht="23.25" hidden="false" customHeight="true" outlineLevel="0" collapsed="false">
      <c r="A88" s="30" t="s">
        <v>387</v>
      </c>
      <c r="B88" s="30"/>
      <c r="C88" s="30"/>
      <c r="D88" s="30"/>
      <c r="E88" s="30"/>
      <c r="F88" s="30"/>
      <c r="G88" s="30"/>
      <c r="H88" s="30"/>
      <c r="I88" s="30"/>
    </row>
    <row r="89" customFormat="false" ht="18" hidden="false" customHeight="true" outlineLevel="0" collapsed="false">
      <c r="A89" s="31" t="s">
        <v>388</v>
      </c>
      <c r="B89" s="32" t="s">
        <v>389</v>
      </c>
      <c r="C89" s="32" t="s">
        <v>390</v>
      </c>
      <c r="D89" s="32" t="s">
        <v>391</v>
      </c>
      <c r="E89" s="32" t="s">
        <v>392</v>
      </c>
      <c r="F89" s="32" t="s">
        <v>393</v>
      </c>
      <c r="G89" s="32" t="s">
        <v>394</v>
      </c>
      <c r="H89" s="32" t="s">
        <v>156</v>
      </c>
      <c r="I89" s="32" t="s">
        <v>395</v>
      </c>
    </row>
    <row r="90" customFormat="false" ht="57" hidden="false" customHeight="true" outlineLevel="0" collapsed="false">
      <c r="A90" s="41" t="s">
        <v>396</v>
      </c>
      <c r="B90" s="42" t="s">
        <v>397</v>
      </c>
      <c r="C90" s="42" t="s">
        <v>245</v>
      </c>
      <c r="D90" s="42" t="s">
        <v>398</v>
      </c>
      <c r="E90" s="42" t="s">
        <v>399</v>
      </c>
      <c r="F90" s="42" t="s">
        <v>400</v>
      </c>
      <c r="G90" s="42" t="s">
        <v>401</v>
      </c>
      <c r="H90" s="42" t="s">
        <v>402</v>
      </c>
      <c r="I90" s="42" t="s">
        <v>403</v>
      </c>
    </row>
    <row r="91" customFormat="false" ht="18" hidden="false" customHeight="true" outlineLevel="0" collapsed="false">
      <c r="A91" s="41" t="s">
        <v>396</v>
      </c>
      <c r="B91" s="42" t="s">
        <v>404</v>
      </c>
      <c r="C91" s="42" t="s">
        <v>245</v>
      </c>
      <c r="D91" s="42" t="s">
        <v>405</v>
      </c>
      <c r="E91" s="42" t="s">
        <v>399</v>
      </c>
      <c r="F91" s="42" t="s">
        <v>400</v>
      </c>
      <c r="G91" s="42" t="s">
        <v>406</v>
      </c>
      <c r="H91" s="42" t="s">
        <v>402</v>
      </c>
      <c r="I91" s="42" t="s">
        <v>403</v>
      </c>
    </row>
    <row r="92" customFormat="false" ht="18" hidden="false" customHeight="true" outlineLevel="0" collapsed="false">
      <c r="A92" s="41" t="s">
        <v>407</v>
      </c>
      <c r="B92" s="42" t="s">
        <v>408</v>
      </c>
      <c r="C92" s="42" t="s">
        <v>295</v>
      </c>
      <c r="D92" s="42" t="s">
        <v>409</v>
      </c>
      <c r="E92" s="42" t="s">
        <v>410</v>
      </c>
      <c r="F92" s="42" t="s">
        <v>411</v>
      </c>
      <c r="G92" s="42" t="s">
        <v>412</v>
      </c>
      <c r="H92" s="42" t="s">
        <v>402</v>
      </c>
      <c r="I92" s="42" t="s">
        <v>403</v>
      </c>
    </row>
    <row r="93" customFormat="false" ht="18" hidden="false" customHeight="true" outlineLevel="0" collapsed="false">
      <c r="A93" s="41" t="s">
        <v>407</v>
      </c>
      <c r="B93" s="42" t="s">
        <v>413</v>
      </c>
      <c r="C93" s="42" t="s">
        <v>245</v>
      </c>
      <c r="D93" s="42" t="s">
        <v>302</v>
      </c>
      <c r="E93" s="42" t="s">
        <v>399</v>
      </c>
      <c r="F93" s="42" t="s">
        <v>414</v>
      </c>
      <c r="G93" s="42" t="s">
        <v>415</v>
      </c>
      <c r="H93" s="42" t="s">
        <v>402</v>
      </c>
      <c r="I93" s="42" t="s">
        <v>403</v>
      </c>
    </row>
    <row r="94" customFormat="false" ht="18" hidden="false" customHeight="true" outlineLevel="0" collapsed="false">
      <c r="A94" s="41" t="s">
        <v>407</v>
      </c>
      <c r="B94" s="42" t="s">
        <v>416</v>
      </c>
      <c r="C94" s="42" t="s">
        <v>245</v>
      </c>
      <c r="D94" s="42" t="s">
        <v>330</v>
      </c>
      <c r="E94" s="42" t="s">
        <v>417</v>
      </c>
      <c r="F94" s="42" t="s">
        <v>418</v>
      </c>
      <c r="G94" s="42" t="s">
        <v>419</v>
      </c>
      <c r="H94" s="42" t="s">
        <v>402</v>
      </c>
      <c r="I94" s="42" t="s">
        <v>403</v>
      </c>
    </row>
    <row r="95" customFormat="false" ht="45.75" hidden="false" customHeight="true" outlineLevel="0" collapsed="false">
      <c r="A95" s="41" t="s">
        <v>420</v>
      </c>
      <c r="B95" s="42" t="s">
        <v>421</v>
      </c>
      <c r="C95" s="42" t="s">
        <v>409</v>
      </c>
      <c r="D95" s="42" t="s">
        <v>422</v>
      </c>
      <c r="E95" s="42" t="s">
        <v>423</v>
      </c>
      <c r="F95" s="42" t="s">
        <v>400</v>
      </c>
      <c r="G95" s="42" t="s">
        <v>424</v>
      </c>
      <c r="H95" s="42" t="s">
        <v>402</v>
      </c>
      <c r="I95" s="42" t="s">
        <v>403</v>
      </c>
    </row>
    <row r="96" customFormat="false" ht="45.75" hidden="false" customHeight="true" outlineLevel="0" collapsed="false">
      <c r="A96" s="41" t="s">
        <v>420</v>
      </c>
      <c r="B96" s="42" t="s">
        <v>425</v>
      </c>
      <c r="C96" s="42" t="s">
        <v>245</v>
      </c>
      <c r="D96" s="42" t="s">
        <v>426</v>
      </c>
      <c r="E96" s="42" t="s">
        <v>399</v>
      </c>
      <c r="F96" s="42" t="s">
        <v>400</v>
      </c>
      <c r="G96" s="42" t="s">
        <v>427</v>
      </c>
      <c r="H96" s="42" t="s">
        <v>402</v>
      </c>
      <c r="I96" s="42" t="s">
        <v>403</v>
      </c>
    </row>
  </sheetData>
  <mergeCells count="21">
    <mergeCell ref="A2:I2"/>
    <mergeCell ref="A4:I4"/>
    <mergeCell ref="A5:I5"/>
    <mergeCell ref="A12:I12"/>
    <mergeCell ref="A14:I14"/>
    <mergeCell ref="A15:I15"/>
    <mergeCell ref="A22:I22"/>
    <mergeCell ref="A24:I24"/>
    <mergeCell ref="A25:I25"/>
    <mergeCell ref="A33:I33"/>
    <mergeCell ref="A35:I35"/>
    <mergeCell ref="A36:I36"/>
    <mergeCell ref="A38:I38"/>
    <mergeCell ref="A39:I39"/>
    <mergeCell ref="A41:I41"/>
    <mergeCell ref="A42:I42"/>
    <mergeCell ref="A44:I44"/>
    <mergeCell ref="A55:I55"/>
    <mergeCell ref="A72:I72"/>
    <mergeCell ref="A87:I87"/>
    <mergeCell ref="A88:I88"/>
  </mergeCells>
  <printOptions headings="false" gridLines="false" gridLinesSet="true" horizontalCentered="false" verticalCentered="false"/>
  <pageMargins left="0.4" right="0.4" top="0.5" bottom="0.5" header="0.25" footer="0.25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&amp;CWillis Holdings</oddHeader>
    <oddFooter>&amp;CCONFIDENTIAL  | 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472C4"/>
    <pageSetUpPr fitToPage="false"/>
  </sheetPr>
  <dimension ref="A1:J14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20"/>
    <col collapsed="false" customWidth="true" hidden="false" outlineLevel="0" max="10" min="2" style="1" width="14"/>
  </cols>
  <sheetData>
    <row r="1" customFormat="false" ht="24" hidden="false" customHeight="true" outlineLevel="0" collapsed="false">
      <c r="A1" s="29" t="s">
        <v>428</v>
      </c>
    </row>
    <row r="2" customFormat="false" ht="21.75" hidden="false" customHeight="true" outlineLevel="0" collapsed="false">
      <c r="A2" s="23" t="s">
        <v>429</v>
      </c>
      <c r="B2" s="23"/>
      <c r="C2" s="23"/>
      <c r="D2" s="23"/>
      <c r="E2" s="23"/>
      <c r="F2" s="23"/>
      <c r="G2" s="23"/>
      <c r="H2" s="23"/>
      <c r="I2" s="23"/>
      <c r="J2" s="23"/>
    </row>
    <row r="3" customFormat="false" ht="6" hidden="false" customHeight="true" outlineLevel="0" collapsed="false">
      <c r="A3" s="4"/>
      <c r="B3" s="5"/>
      <c r="C3" s="5"/>
      <c r="D3" s="5"/>
      <c r="E3" s="5"/>
      <c r="F3" s="5"/>
      <c r="G3" s="5"/>
      <c r="H3" s="5"/>
      <c r="I3" s="5"/>
      <c r="J3" s="5"/>
    </row>
    <row r="4" customFormat="false" ht="24" hidden="false" customHeight="true" outlineLevel="0" collapsed="false">
      <c r="A4" s="6" t="s">
        <v>430</v>
      </c>
      <c r="B4" s="6"/>
      <c r="C4" s="6"/>
      <c r="D4" s="6"/>
      <c r="E4" s="6"/>
      <c r="F4" s="6"/>
      <c r="G4" s="6"/>
      <c r="H4" s="6"/>
      <c r="I4" s="6"/>
      <c r="J4" s="6"/>
    </row>
    <row r="5" customFormat="false" ht="18" hidden="false" customHeight="true" outlineLevel="0" collapsed="false">
      <c r="A5" s="31" t="s">
        <v>5</v>
      </c>
      <c r="B5" s="32" t="s">
        <v>431</v>
      </c>
      <c r="C5" s="32" t="s">
        <v>432</v>
      </c>
      <c r="D5" s="32" t="s">
        <v>7</v>
      </c>
      <c r="E5" s="32" t="s">
        <v>8</v>
      </c>
      <c r="F5" s="32" t="s">
        <v>9</v>
      </c>
      <c r="G5" s="32" t="s">
        <v>10</v>
      </c>
      <c r="H5" s="32" t="s">
        <v>433</v>
      </c>
      <c r="I5" s="32" t="s">
        <v>434</v>
      </c>
      <c r="J5" s="32" t="s">
        <v>435</v>
      </c>
    </row>
    <row r="6" customFormat="false" ht="18" hidden="false" customHeight="true" outlineLevel="0" collapsed="false">
      <c r="A6" s="33" t="s">
        <v>14</v>
      </c>
      <c r="B6" s="34" t="s">
        <v>436</v>
      </c>
      <c r="C6" s="34" t="s">
        <v>437</v>
      </c>
      <c r="D6" s="34" t="s">
        <v>438</v>
      </c>
      <c r="E6" s="34" t="n">
        <v>226</v>
      </c>
      <c r="F6" s="34" t="s">
        <v>439</v>
      </c>
      <c r="G6" s="34" t="s">
        <v>440</v>
      </c>
      <c r="H6" s="34" t="s">
        <v>441</v>
      </c>
      <c r="I6" s="34" t="s">
        <v>442</v>
      </c>
      <c r="J6" s="34" t="s">
        <v>443</v>
      </c>
    </row>
    <row r="7" customFormat="false" ht="18" hidden="false" customHeight="true" outlineLevel="0" collapsed="false">
      <c r="A7" s="33" t="s">
        <v>23</v>
      </c>
      <c r="B7" s="34" t="s">
        <v>444</v>
      </c>
      <c r="C7" s="34" t="s">
        <v>445</v>
      </c>
      <c r="D7" s="34" t="s">
        <v>446</v>
      </c>
      <c r="E7" s="34" t="n">
        <v>381</v>
      </c>
      <c r="F7" s="34" t="s">
        <v>447</v>
      </c>
      <c r="G7" s="34" t="s">
        <v>448</v>
      </c>
      <c r="H7" s="34" t="s">
        <v>449</v>
      </c>
      <c r="I7" s="34" t="s">
        <v>450</v>
      </c>
      <c r="J7" s="34" t="s">
        <v>443</v>
      </c>
    </row>
    <row r="8" customFormat="false" ht="18" hidden="false" customHeight="true" outlineLevel="0" collapsed="false">
      <c r="A8" s="33" t="s">
        <v>451</v>
      </c>
      <c r="B8" s="34" t="s">
        <v>33</v>
      </c>
      <c r="C8" s="34" t="s">
        <v>452</v>
      </c>
      <c r="D8" s="34" t="s">
        <v>453</v>
      </c>
      <c r="E8" s="34" t="n">
        <v>1642</v>
      </c>
      <c r="F8" s="34" t="s">
        <v>36</v>
      </c>
      <c r="G8" s="34" t="s">
        <v>454</v>
      </c>
      <c r="H8" s="34" t="s">
        <v>455</v>
      </c>
      <c r="I8" s="34" t="s">
        <v>456</v>
      </c>
      <c r="J8" s="34" t="s">
        <v>443</v>
      </c>
    </row>
    <row r="9" customFormat="false" ht="18" hidden="false" customHeight="true" outlineLevel="0" collapsed="false">
      <c r="A9" s="26" t="s">
        <v>457</v>
      </c>
      <c r="B9" s="27" t="s">
        <v>458</v>
      </c>
      <c r="C9" s="27" t="s">
        <v>459</v>
      </c>
      <c r="D9" s="27" t="s">
        <v>460</v>
      </c>
      <c r="E9" s="27" t="n">
        <v>1290</v>
      </c>
      <c r="F9" s="27" t="s">
        <v>461</v>
      </c>
      <c r="G9" s="27" t="s">
        <v>462</v>
      </c>
      <c r="H9" s="27" t="s">
        <v>463</v>
      </c>
      <c r="I9" s="27" t="s">
        <v>464</v>
      </c>
      <c r="J9" s="27" t="s">
        <v>443</v>
      </c>
    </row>
    <row r="10" customFormat="false" ht="18" hidden="false" customHeight="true" outlineLevel="0" collapsed="false">
      <c r="A10" s="26" t="s">
        <v>465</v>
      </c>
      <c r="B10" s="27" t="s">
        <v>50</v>
      </c>
      <c r="C10" s="27" t="s">
        <v>466</v>
      </c>
      <c r="D10" s="27" t="s">
        <v>467</v>
      </c>
      <c r="E10" s="27" t="n">
        <v>4991</v>
      </c>
      <c r="F10" s="27" t="s">
        <v>53</v>
      </c>
      <c r="G10" s="27" t="s">
        <v>468</v>
      </c>
      <c r="H10" s="27" t="s">
        <v>469</v>
      </c>
      <c r="I10" s="27" t="s">
        <v>470</v>
      </c>
      <c r="J10" s="27" t="s">
        <v>443</v>
      </c>
    </row>
    <row r="11" customFormat="false" ht="21.75" hidden="false" customHeight="true" outlineLevel="0" collapsed="false">
      <c r="A11" s="22" t="s">
        <v>471</v>
      </c>
      <c r="B11" s="22"/>
      <c r="C11" s="22"/>
      <c r="D11" s="22"/>
      <c r="E11" s="22"/>
      <c r="F11" s="22"/>
      <c r="G11" s="22"/>
      <c r="H11" s="22"/>
      <c r="I11" s="22"/>
      <c r="J11" s="22"/>
    </row>
    <row r="12" customFormat="false" ht="6" hidden="false" customHeight="true" outlineLevel="0" collapsed="false">
      <c r="A12" s="4"/>
      <c r="B12" s="5"/>
      <c r="C12" s="5"/>
      <c r="D12" s="5"/>
      <c r="E12" s="5"/>
      <c r="F12" s="5"/>
      <c r="G12" s="5"/>
      <c r="H12" s="5"/>
      <c r="I12" s="5"/>
      <c r="J12" s="5"/>
    </row>
    <row r="13" customFormat="false" ht="24" hidden="false" customHeight="true" outlineLevel="0" collapsed="false">
      <c r="A13" s="38" t="s">
        <v>472</v>
      </c>
      <c r="B13" s="38"/>
      <c r="C13" s="38"/>
      <c r="D13" s="38"/>
      <c r="E13" s="38"/>
      <c r="F13" s="38"/>
      <c r="G13" s="38"/>
      <c r="H13" s="38"/>
      <c r="I13" s="38"/>
      <c r="J13" s="38"/>
    </row>
    <row r="14" customFormat="false" ht="21.75" hidden="false" customHeight="true" outlineLevel="0" collapsed="false">
      <c r="A14" s="30" t="s">
        <v>473</v>
      </c>
      <c r="B14" s="30"/>
      <c r="C14" s="30"/>
      <c r="D14" s="30"/>
      <c r="E14" s="30"/>
      <c r="F14" s="30"/>
      <c r="G14" s="30"/>
      <c r="H14" s="30"/>
      <c r="I14" s="30"/>
      <c r="J14" s="30"/>
    </row>
    <row r="15" customFormat="false" ht="21.75" hidden="false" customHeight="true" outlineLevel="0" collapsed="false">
      <c r="A15" s="22" t="s">
        <v>474</v>
      </c>
      <c r="B15" s="22"/>
      <c r="C15" s="22"/>
      <c r="D15" s="22"/>
      <c r="E15" s="22"/>
      <c r="F15" s="22"/>
      <c r="G15" s="22"/>
      <c r="H15" s="22"/>
      <c r="I15" s="22"/>
      <c r="J15" s="22"/>
    </row>
    <row r="16" customFormat="false" ht="23.25" hidden="false" customHeight="true" outlineLevel="0" collapsed="false">
      <c r="A16" s="31" t="s">
        <v>5</v>
      </c>
      <c r="B16" s="32" t="s">
        <v>431</v>
      </c>
      <c r="C16" s="32" t="s">
        <v>432</v>
      </c>
      <c r="D16" s="32" t="s">
        <v>8</v>
      </c>
      <c r="E16" s="32" t="s">
        <v>475</v>
      </c>
      <c r="F16" s="32" t="s">
        <v>476</v>
      </c>
      <c r="G16" s="32" t="s">
        <v>477</v>
      </c>
      <c r="H16" s="32" t="s">
        <v>478</v>
      </c>
      <c r="I16" s="32" t="s">
        <v>479</v>
      </c>
      <c r="J16" s="32" t="s">
        <v>480</v>
      </c>
    </row>
    <row r="17" customFormat="false" ht="18" hidden="false" customHeight="true" outlineLevel="0" collapsed="false">
      <c r="A17" s="26" t="s">
        <v>14</v>
      </c>
      <c r="B17" s="27" t="s">
        <v>436</v>
      </c>
      <c r="C17" s="27" t="s">
        <v>437</v>
      </c>
      <c r="D17" s="27" t="n">
        <v>226</v>
      </c>
      <c r="E17" s="34" t="s">
        <v>481</v>
      </c>
      <c r="F17" s="34" t="s">
        <v>482</v>
      </c>
      <c r="G17" s="27" t="s">
        <v>483</v>
      </c>
      <c r="H17" s="27" t="s">
        <v>484</v>
      </c>
      <c r="I17" s="27" t="s">
        <v>485</v>
      </c>
      <c r="J17" s="27" t="s">
        <v>485</v>
      </c>
    </row>
    <row r="18" customFormat="false" ht="18" hidden="false" customHeight="true" outlineLevel="0" collapsed="false">
      <c r="A18" s="26" t="s">
        <v>23</v>
      </c>
      <c r="B18" s="27" t="s">
        <v>444</v>
      </c>
      <c r="C18" s="27" t="s">
        <v>445</v>
      </c>
      <c r="D18" s="27" t="n">
        <v>381</v>
      </c>
      <c r="E18" s="34" t="s">
        <v>486</v>
      </c>
      <c r="F18" s="34" t="s">
        <v>487</v>
      </c>
      <c r="G18" s="27" t="s">
        <v>488</v>
      </c>
      <c r="H18" s="27" t="s">
        <v>489</v>
      </c>
      <c r="I18" s="27" t="s">
        <v>484</v>
      </c>
      <c r="J18" s="27" t="s">
        <v>485</v>
      </c>
    </row>
    <row r="19" customFormat="false" ht="18" hidden="false" customHeight="true" outlineLevel="0" collapsed="false">
      <c r="A19" s="26" t="s">
        <v>451</v>
      </c>
      <c r="B19" s="27" t="s">
        <v>33</v>
      </c>
      <c r="C19" s="27" t="s">
        <v>452</v>
      </c>
      <c r="D19" s="27" t="n">
        <v>1642</v>
      </c>
      <c r="E19" s="42" t="s">
        <v>490</v>
      </c>
      <c r="F19" s="42" t="s">
        <v>491</v>
      </c>
      <c r="G19" s="27" t="s">
        <v>492</v>
      </c>
      <c r="H19" s="27" t="s">
        <v>493</v>
      </c>
      <c r="I19" s="27" t="s">
        <v>494</v>
      </c>
      <c r="J19" s="27" t="s">
        <v>495</v>
      </c>
    </row>
    <row r="20" customFormat="false" ht="18" hidden="false" customHeight="true" outlineLevel="0" collapsed="false">
      <c r="A20" s="26" t="s">
        <v>457</v>
      </c>
      <c r="B20" s="27" t="s">
        <v>458</v>
      </c>
      <c r="C20" s="27" t="s">
        <v>459</v>
      </c>
      <c r="D20" s="27" t="n">
        <v>1290</v>
      </c>
      <c r="E20" s="43" t="s">
        <v>496</v>
      </c>
      <c r="F20" s="43" t="s">
        <v>497</v>
      </c>
      <c r="G20" s="27" t="s">
        <v>492</v>
      </c>
      <c r="H20" s="27" t="s">
        <v>492</v>
      </c>
      <c r="I20" s="27" t="s">
        <v>498</v>
      </c>
      <c r="J20" s="27" t="s">
        <v>499</v>
      </c>
    </row>
    <row r="21" customFormat="false" ht="18" hidden="false" customHeight="true" outlineLevel="0" collapsed="false">
      <c r="A21" s="26" t="s">
        <v>465</v>
      </c>
      <c r="B21" s="27" t="s">
        <v>50</v>
      </c>
      <c r="C21" s="27" t="s">
        <v>466</v>
      </c>
      <c r="D21" s="27" t="n">
        <v>4991</v>
      </c>
      <c r="E21" s="43" t="s">
        <v>500</v>
      </c>
      <c r="F21" s="43" t="s">
        <v>501</v>
      </c>
      <c r="G21" s="27" t="s">
        <v>492</v>
      </c>
      <c r="H21" s="27" t="s">
        <v>492</v>
      </c>
      <c r="I21" s="27" t="s">
        <v>492</v>
      </c>
      <c r="J21" s="27" t="s">
        <v>492</v>
      </c>
    </row>
    <row r="22" customFormat="false" ht="6" hidden="false" customHeight="true" outlineLevel="0" collapsed="false">
      <c r="A22" s="4"/>
      <c r="B22" s="5"/>
      <c r="C22" s="5"/>
      <c r="D22" s="5"/>
      <c r="E22" s="5"/>
      <c r="F22" s="5"/>
      <c r="G22" s="5"/>
      <c r="H22" s="5"/>
      <c r="I22" s="5"/>
      <c r="J22" s="5"/>
    </row>
    <row r="23" customFormat="false" ht="21.75" hidden="false" customHeight="true" outlineLevel="0" collapsed="false">
      <c r="A23" s="44" t="s">
        <v>502</v>
      </c>
      <c r="B23" s="44"/>
      <c r="C23" s="44"/>
      <c r="D23" s="44"/>
      <c r="E23" s="44"/>
      <c r="F23" s="44"/>
      <c r="G23" s="44"/>
      <c r="H23" s="44"/>
      <c r="I23" s="44"/>
      <c r="J23" s="44"/>
    </row>
    <row r="24" customFormat="false" ht="6" hidden="false" customHeight="true" outlineLevel="0" collapsed="false">
      <c r="A24" s="4"/>
      <c r="B24" s="5"/>
      <c r="C24" s="5"/>
      <c r="D24" s="5"/>
      <c r="E24" s="5"/>
      <c r="F24" s="5"/>
      <c r="G24" s="5"/>
      <c r="H24" s="5"/>
      <c r="I24" s="5"/>
      <c r="J24" s="5"/>
    </row>
    <row r="25" customFormat="false" ht="24" hidden="false" customHeight="true" outlineLevel="0" collapsed="false">
      <c r="A25" s="6" t="s">
        <v>503</v>
      </c>
      <c r="B25" s="6"/>
      <c r="C25" s="6"/>
      <c r="D25" s="6"/>
      <c r="E25" s="6"/>
      <c r="F25" s="6"/>
      <c r="G25" s="6"/>
      <c r="H25" s="6"/>
      <c r="I25" s="6"/>
      <c r="J25" s="6"/>
    </row>
    <row r="26" customFormat="false" ht="23.25" hidden="false" customHeight="true" outlineLevel="0" collapsed="false">
      <c r="A26" s="30" t="s">
        <v>504</v>
      </c>
      <c r="B26" s="30"/>
      <c r="C26" s="30"/>
      <c r="D26" s="30"/>
      <c r="E26" s="30"/>
      <c r="F26" s="30"/>
      <c r="G26" s="30"/>
      <c r="H26" s="30"/>
      <c r="I26" s="30"/>
      <c r="J26" s="30"/>
    </row>
    <row r="27" customFormat="false" ht="23.25" hidden="false" customHeight="true" outlineLevel="0" collapsed="false">
      <c r="A27" s="31" t="s">
        <v>5</v>
      </c>
      <c r="B27" s="32" t="s">
        <v>505</v>
      </c>
      <c r="C27" s="32" t="s">
        <v>475</v>
      </c>
      <c r="D27" s="32" t="s">
        <v>506</v>
      </c>
      <c r="E27" s="32" t="s">
        <v>507</v>
      </c>
      <c r="F27" s="32" t="s">
        <v>508</v>
      </c>
      <c r="G27" s="32" t="s">
        <v>509</v>
      </c>
      <c r="H27" s="32" t="s">
        <v>510</v>
      </c>
      <c r="I27" s="32" t="s">
        <v>511</v>
      </c>
      <c r="J27" s="32" t="s">
        <v>512</v>
      </c>
    </row>
    <row r="28" customFormat="false" ht="18" hidden="false" customHeight="true" outlineLevel="0" collapsed="false">
      <c r="A28" s="26" t="s">
        <v>14</v>
      </c>
      <c r="B28" s="27" t="s">
        <v>513</v>
      </c>
      <c r="C28" s="27" t="n">
        <v>4</v>
      </c>
      <c r="D28" s="34" t="s">
        <v>514</v>
      </c>
      <c r="E28" s="27" t="n">
        <v>6</v>
      </c>
      <c r="F28" s="34" t="s">
        <v>515</v>
      </c>
      <c r="G28" s="27" t="s">
        <v>516</v>
      </c>
      <c r="H28" s="27" t="s">
        <v>517</v>
      </c>
      <c r="I28" s="27" t="s">
        <v>518</v>
      </c>
      <c r="J28" s="45" t="s">
        <v>519</v>
      </c>
    </row>
    <row r="29" customFormat="false" ht="18" hidden="false" customHeight="true" outlineLevel="0" collapsed="false">
      <c r="A29" s="26" t="s">
        <v>14</v>
      </c>
      <c r="B29" s="27" t="s">
        <v>520</v>
      </c>
      <c r="C29" s="27" t="n">
        <v>4</v>
      </c>
      <c r="D29" s="34" t="s">
        <v>521</v>
      </c>
      <c r="E29" s="27" t="n">
        <v>6</v>
      </c>
      <c r="F29" s="34" t="s">
        <v>522</v>
      </c>
      <c r="G29" s="27" t="s">
        <v>523</v>
      </c>
      <c r="H29" s="27" t="s">
        <v>517</v>
      </c>
      <c r="I29" s="27" t="s">
        <v>524</v>
      </c>
      <c r="J29" s="45" t="s">
        <v>519</v>
      </c>
    </row>
    <row r="30" customFormat="false" ht="18" hidden="false" customHeight="true" outlineLevel="0" collapsed="false">
      <c r="A30" s="26" t="s">
        <v>14</v>
      </c>
      <c r="B30" s="27" t="s">
        <v>514</v>
      </c>
      <c r="C30" s="27" t="n">
        <v>4</v>
      </c>
      <c r="D30" s="34" t="s">
        <v>525</v>
      </c>
      <c r="E30" s="27" t="n">
        <v>6</v>
      </c>
      <c r="F30" s="34" t="s">
        <v>526</v>
      </c>
      <c r="G30" s="27" t="s">
        <v>527</v>
      </c>
      <c r="H30" s="27" t="s">
        <v>517</v>
      </c>
      <c r="I30" s="27" t="s">
        <v>528</v>
      </c>
      <c r="J30" s="45" t="s">
        <v>519</v>
      </c>
    </row>
    <row r="31" customFormat="false" ht="18" hidden="false" customHeight="true" outlineLevel="0" collapsed="false">
      <c r="A31" s="26" t="s">
        <v>14</v>
      </c>
      <c r="B31" s="27" t="s">
        <v>515</v>
      </c>
      <c r="C31" s="27" t="n">
        <v>4</v>
      </c>
      <c r="D31" s="34" t="s">
        <v>529</v>
      </c>
      <c r="E31" s="27" t="n">
        <v>6</v>
      </c>
      <c r="F31" s="42" t="s">
        <v>530</v>
      </c>
      <c r="G31" s="27" t="s">
        <v>531</v>
      </c>
      <c r="H31" s="27" t="s">
        <v>517</v>
      </c>
      <c r="I31" s="27" t="s">
        <v>532</v>
      </c>
      <c r="J31" s="45" t="s">
        <v>533</v>
      </c>
    </row>
    <row r="32" customFormat="false" ht="18" hidden="false" customHeight="true" outlineLevel="0" collapsed="false">
      <c r="A32" s="26" t="s">
        <v>14</v>
      </c>
      <c r="B32" s="27" t="s">
        <v>534</v>
      </c>
      <c r="C32" s="27" t="n">
        <v>4</v>
      </c>
      <c r="D32" s="42" t="s">
        <v>535</v>
      </c>
      <c r="E32" s="27" t="n">
        <v>6</v>
      </c>
      <c r="F32" s="42" t="s">
        <v>50</v>
      </c>
      <c r="G32" s="27" t="s">
        <v>536</v>
      </c>
      <c r="H32" s="27" t="s">
        <v>517</v>
      </c>
      <c r="I32" s="27" t="s">
        <v>537</v>
      </c>
      <c r="J32" s="45" t="s">
        <v>533</v>
      </c>
    </row>
    <row r="33" customFormat="false" ht="18" hidden="false" customHeight="true" outlineLevel="0" collapsed="false">
      <c r="A33" s="26" t="s">
        <v>14</v>
      </c>
      <c r="B33" s="27" t="s">
        <v>538</v>
      </c>
      <c r="C33" s="27" t="n">
        <v>4</v>
      </c>
      <c r="D33" s="46" t="s">
        <v>539</v>
      </c>
      <c r="E33" s="27" t="n">
        <v>6</v>
      </c>
      <c r="F33" s="46" t="s">
        <v>540</v>
      </c>
      <c r="G33" s="27" t="s">
        <v>541</v>
      </c>
      <c r="H33" s="27" t="s">
        <v>542</v>
      </c>
      <c r="I33" s="27" t="s">
        <v>543</v>
      </c>
      <c r="J33" s="47" t="s">
        <v>544</v>
      </c>
    </row>
    <row r="34" customFormat="false" ht="18" hidden="false" customHeight="true" outlineLevel="0" collapsed="false">
      <c r="A34" s="26" t="s">
        <v>14</v>
      </c>
      <c r="B34" s="27" t="s">
        <v>499</v>
      </c>
      <c r="C34" s="27" t="n">
        <v>4</v>
      </c>
      <c r="D34" s="46" t="s">
        <v>488</v>
      </c>
      <c r="E34" s="27" t="n">
        <v>6</v>
      </c>
      <c r="F34" s="43" t="s">
        <v>348</v>
      </c>
      <c r="G34" s="27" t="s">
        <v>545</v>
      </c>
      <c r="H34" s="27" t="s">
        <v>546</v>
      </c>
      <c r="I34" s="27" t="s">
        <v>547</v>
      </c>
      <c r="J34" s="48" t="s">
        <v>548</v>
      </c>
    </row>
    <row r="35" customFormat="false" ht="18" hidden="false" customHeight="true" outlineLevel="0" collapsed="false">
      <c r="A35" s="26" t="s">
        <v>14</v>
      </c>
      <c r="B35" s="27" t="s">
        <v>437</v>
      </c>
      <c r="C35" s="27" t="n">
        <v>4</v>
      </c>
      <c r="D35" s="43" t="s">
        <v>549</v>
      </c>
      <c r="E35" s="27" t="n">
        <v>6</v>
      </c>
      <c r="F35" s="43" t="s">
        <v>550</v>
      </c>
      <c r="G35" s="27" t="s">
        <v>551</v>
      </c>
      <c r="H35" s="27" t="s">
        <v>552</v>
      </c>
      <c r="I35" s="27" t="s">
        <v>553</v>
      </c>
      <c r="J35" s="49" t="s">
        <v>554</v>
      </c>
    </row>
    <row r="36" customFormat="false" ht="18" hidden="false" customHeight="true" outlineLevel="0" collapsed="false">
      <c r="A36" s="26" t="s">
        <v>23</v>
      </c>
      <c r="B36" s="27" t="s">
        <v>513</v>
      </c>
      <c r="C36" s="27" t="n">
        <v>5</v>
      </c>
      <c r="D36" s="34" t="s">
        <v>555</v>
      </c>
      <c r="E36" s="27" t="n">
        <v>8</v>
      </c>
      <c r="F36" s="34" t="s">
        <v>521</v>
      </c>
      <c r="G36" s="27" t="s">
        <v>516</v>
      </c>
      <c r="H36" s="27" t="s">
        <v>517</v>
      </c>
      <c r="I36" s="27" t="s">
        <v>556</v>
      </c>
      <c r="J36" s="45" t="s">
        <v>519</v>
      </c>
    </row>
    <row r="37" customFormat="false" ht="18" hidden="false" customHeight="true" outlineLevel="0" collapsed="false">
      <c r="A37" s="26" t="s">
        <v>23</v>
      </c>
      <c r="B37" s="27" t="s">
        <v>520</v>
      </c>
      <c r="C37" s="27" t="n">
        <v>5</v>
      </c>
      <c r="D37" s="34" t="s">
        <v>557</v>
      </c>
      <c r="E37" s="27" t="n">
        <v>8</v>
      </c>
      <c r="F37" s="34" t="s">
        <v>558</v>
      </c>
      <c r="G37" s="27" t="s">
        <v>523</v>
      </c>
      <c r="H37" s="27" t="s">
        <v>517</v>
      </c>
      <c r="I37" s="27" t="s">
        <v>559</v>
      </c>
      <c r="J37" s="45" t="s">
        <v>519</v>
      </c>
    </row>
    <row r="38" customFormat="false" ht="18" hidden="false" customHeight="true" outlineLevel="0" collapsed="false">
      <c r="A38" s="26" t="s">
        <v>23</v>
      </c>
      <c r="B38" s="27" t="s">
        <v>514</v>
      </c>
      <c r="C38" s="27" t="n">
        <v>5</v>
      </c>
      <c r="D38" s="34" t="s">
        <v>560</v>
      </c>
      <c r="E38" s="27" t="n">
        <v>8</v>
      </c>
      <c r="F38" s="34" t="s">
        <v>561</v>
      </c>
      <c r="G38" s="27" t="s">
        <v>527</v>
      </c>
      <c r="H38" s="27" t="s">
        <v>517</v>
      </c>
      <c r="I38" s="27" t="s">
        <v>562</v>
      </c>
      <c r="J38" s="45" t="s">
        <v>519</v>
      </c>
    </row>
    <row r="39" customFormat="false" ht="18" hidden="false" customHeight="true" outlineLevel="0" collapsed="false">
      <c r="A39" s="26" t="s">
        <v>23</v>
      </c>
      <c r="B39" s="27" t="s">
        <v>515</v>
      </c>
      <c r="C39" s="27" t="n">
        <v>5</v>
      </c>
      <c r="D39" s="34" t="s">
        <v>563</v>
      </c>
      <c r="E39" s="27" t="n">
        <v>8</v>
      </c>
      <c r="F39" s="42" t="s">
        <v>564</v>
      </c>
      <c r="G39" s="27" t="s">
        <v>531</v>
      </c>
      <c r="H39" s="27" t="s">
        <v>517</v>
      </c>
      <c r="I39" s="27" t="s">
        <v>565</v>
      </c>
      <c r="J39" s="45" t="s">
        <v>533</v>
      </c>
    </row>
    <row r="40" customFormat="false" ht="18" hidden="false" customHeight="true" outlineLevel="0" collapsed="false">
      <c r="A40" s="26" t="s">
        <v>23</v>
      </c>
      <c r="B40" s="27" t="s">
        <v>534</v>
      </c>
      <c r="C40" s="27" t="n">
        <v>5</v>
      </c>
      <c r="D40" s="42" t="s">
        <v>566</v>
      </c>
      <c r="E40" s="27" t="n">
        <v>8</v>
      </c>
      <c r="F40" s="46" t="s">
        <v>567</v>
      </c>
      <c r="G40" s="27" t="s">
        <v>536</v>
      </c>
      <c r="H40" s="27" t="s">
        <v>517</v>
      </c>
      <c r="I40" s="27" t="s">
        <v>568</v>
      </c>
      <c r="J40" s="47" t="s">
        <v>544</v>
      </c>
    </row>
    <row r="41" customFormat="false" ht="18" hidden="false" customHeight="true" outlineLevel="0" collapsed="false">
      <c r="A41" s="26" t="s">
        <v>23</v>
      </c>
      <c r="B41" s="27" t="s">
        <v>538</v>
      </c>
      <c r="C41" s="27" t="n">
        <v>5</v>
      </c>
      <c r="D41" s="46" t="s">
        <v>569</v>
      </c>
      <c r="E41" s="27" t="n">
        <v>8</v>
      </c>
      <c r="F41" s="43" t="s">
        <v>570</v>
      </c>
      <c r="G41" s="27" t="s">
        <v>541</v>
      </c>
      <c r="H41" s="27" t="s">
        <v>571</v>
      </c>
      <c r="I41" s="27" t="s">
        <v>572</v>
      </c>
      <c r="J41" s="48" t="s">
        <v>548</v>
      </c>
    </row>
    <row r="42" customFormat="false" ht="18" hidden="false" customHeight="true" outlineLevel="0" collapsed="false">
      <c r="A42" s="26" t="s">
        <v>23</v>
      </c>
      <c r="B42" s="27" t="s">
        <v>499</v>
      </c>
      <c r="C42" s="27" t="n">
        <v>5</v>
      </c>
      <c r="D42" s="43" t="s">
        <v>369</v>
      </c>
      <c r="E42" s="27" t="n">
        <v>8</v>
      </c>
      <c r="F42" s="43" t="s">
        <v>573</v>
      </c>
      <c r="G42" s="27" t="s">
        <v>545</v>
      </c>
      <c r="H42" s="27" t="s">
        <v>574</v>
      </c>
      <c r="I42" s="27" t="s">
        <v>575</v>
      </c>
      <c r="J42" s="49" t="s">
        <v>554</v>
      </c>
    </row>
    <row r="43" customFormat="false" ht="18" hidden="false" customHeight="true" outlineLevel="0" collapsed="false">
      <c r="A43" s="26" t="s">
        <v>23</v>
      </c>
      <c r="B43" s="27" t="s">
        <v>437</v>
      </c>
      <c r="C43" s="27" t="n">
        <v>5</v>
      </c>
      <c r="D43" s="43" t="s">
        <v>576</v>
      </c>
      <c r="E43" s="27" t="n">
        <v>8</v>
      </c>
      <c r="F43" s="43" t="s">
        <v>577</v>
      </c>
      <c r="G43" s="27" t="s">
        <v>551</v>
      </c>
      <c r="H43" s="27" t="s">
        <v>578</v>
      </c>
      <c r="I43" s="27" t="s">
        <v>579</v>
      </c>
      <c r="J43" s="49" t="s">
        <v>554</v>
      </c>
    </row>
    <row r="44" customFormat="false" ht="18" hidden="false" customHeight="true" outlineLevel="0" collapsed="false">
      <c r="A44" s="26" t="s">
        <v>451</v>
      </c>
      <c r="B44" s="27" t="s">
        <v>513</v>
      </c>
      <c r="C44" s="27" t="n">
        <v>10</v>
      </c>
      <c r="D44" s="34" t="s">
        <v>557</v>
      </c>
      <c r="E44" s="27" t="n">
        <v>13</v>
      </c>
      <c r="F44" s="34" t="s">
        <v>580</v>
      </c>
      <c r="G44" s="27" t="s">
        <v>516</v>
      </c>
      <c r="H44" s="27" t="s">
        <v>517</v>
      </c>
      <c r="I44" s="27" t="s">
        <v>581</v>
      </c>
      <c r="J44" s="45" t="s">
        <v>519</v>
      </c>
    </row>
    <row r="45" customFormat="false" ht="18" hidden="false" customHeight="true" outlineLevel="0" collapsed="false">
      <c r="A45" s="26" t="s">
        <v>451</v>
      </c>
      <c r="B45" s="27" t="s">
        <v>520</v>
      </c>
      <c r="C45" s="27" t="n">
        <v>10</v>
      </c>
      <c r="D45" s="34" t="s">
        <v>560</v>
      </c>
      <c r="E45" s="27" t="n">
        <v>13</v>
      </c>
      <c r="F45" s="34" t="s">
        <v>582</v>
      </c>
      <c r="G45" s="27" t="s">
        <v>523</v>
      </c>
      <c r="H45" s="27" t="s">
        <v>517</v>
      </c>
      <c r="I45" s="27" t="s">
        <v>583</v>
      </c>
      <c r="J45" s="45" t="s">
        <v>519</v>
      </c>
    </row>
    <row r="46" customFormat="false" ht="18" hidden="false" customHeight="true" outlineLevel="0" collapsed="false">
      <c r="A46" s="26" t="s">
        <v>451</v>
      </c>
      <c r="B46" s="27" t="s">
        <v>514</v>
      </c>
      <c r="C46" s="27" t="n">
        <v>10</v>
      </c>
      <c r="D46" s="42" t="s">
        <v>584</v>
      </c>
      <c r="E46" s="27" t="n">
        <v>13</v>
      </c>
      <c r="F46" s="42" t="s">
        <v>585</v>
      </c>
      <c r="G46" s="27" t="s">
        <v>527</v>
      </c>
      <c r="H46" s="27" t="s">
        <v>517</v>
      </c>
      <c r="I46" s="27" t="s">
        <v>586</v>
      </c>
      <c r="J46" s="45" t="s">
        <v>533</v>
      </c>
    </row>
    <row r="47" customFormat="false" ht="18" hidden="false" customHeight="true" outlineLevel="0" collapsed="false">
      <c r="A47" s="26" t="s">
        <v>451</v>
      </c>
      <c r="B47" s="27" t="s">
        <v>515</v>
      </c>
      <c r="C47" s="27" t="n">
        <v>10</v>
      </c>
      <c r="D47" s="42" t="s">
        <v>587</v>
      </c>
      <c r="E47" s="27" t="n">
        <v>13</v>
      </c>
      <c r="F47" s="46" t="s">
        <v>588</v>
      </c>
      <c r="G47" s="27" t="s">
        <v>531</v>
      </c>
      <c r="H47" s="27" t="s">
        <v>517</v>
      </c>
      <c r="I47" s="27" t="s">
        <v>589</v>
      </c>
      <c r="J47" s="47" t="s">
        <v>544</v>
      </c>
    </row>
    <row r="48" customFormat="false" ht="18" hidden="false" customHeight="true" outlineLevel="0" collapsed="false">
      <c r="A48" s="26" t="s">
        <v>451</v>
      </c>
      <c r="B48" s="27" t="s">
        <v>534</v>
      </c>
      <c r="C48" s="27" t="n">
        <v>10</v>
      </c>
      <c r="D48" s="46" t="s">
        <v>590</v>
      </c>
      <c r="E48" s="27" t="n">
        <v>13</v>
      </c>
      <c r="F48" s="46" t="s">
        <v>591</v>
      </c>
      <c r="G48" s="27" t="s">
        <v>536</v>
      </c>
      <c r="H48" s="27" t="s">
        <v>592</v>
      </c>
      <c r="I48" s="27" t="s">
        <v>593</v>
      </c>
      <c r="J48" s="47" t="s">
        <v>544</v>
      </c>
    </row>
    <row r="49" customFormat="false" ht="18" hidden="false" customHeight="true" outlineLevel="0" collapsed="false">
      <c r="A49" s="26" t="s">
        <v>451</v>
      </c>
      <c r="B49" s="27" t="s">
        <v>538</v>
      </c>
      <c r="C49" s="27" t="n">
        <v>10</v>
      </c>
      <c r="D49" s="43" t="s">
        <v>594</v>
      </c>
      <c r="E49" s="27" t="n">
        <v>13</v>
      </c>
      <c r="F49" s="43" t="s">
        <v>595</v>
      </c>
      <c r="G49" s="27" t="s">
        <v>541</v>
      </c>
      <c r="H49" s="27" t="s">
        <v>596</v>
      </c>
      <c r="I49" s="27" t="s">
        <v>597</v>
      </c>
      <c r="J49" s="49" t="s">
        <v>554</v>
      </c>
    </row>
    <row r="50" customFormat="false" ht="18" hidden="false" customHeight="true" outlineLevel="0" collapsed="false">
      <c r="A50" s="26" t="s">
        <v>451</v>
      </c>
      <c r="B50" s="27" t="s">
        <v>499</v>
      </c>
      <c r="C50" s="27" t="n">
        <v>10</v>
      </c>
      <c r="D50" s="43" t="s">
        <v>245</v>
      </c>
      <c r="E50" s="27" t="n">
        <v>13</v>
      </c>
      <c r="F50" s="43" t="s">
        <v>598</v>
      </c>
      <c r="G50" s="27" t="s">
        <v>545</v>
      </c>
      <c r="H50" s="27" t="s">
        <v>599</v>
      </c>
      <c r="I50" s="27" t="s">
        <v>600</v>
      </c>
      <c r="J50" s="49" t="s">
        <v>554</v>
      </c>
    </row>
    <row r="51" customFormat="false" ht="18" hidden="false" customHeight="true" outlineLevel="0" collapsed="false">
      <c r="A51" s="26" t="s">
        <v>451</v>
      </c>
      <c r="B51" s="27" t="s">
        <v>437</v>
      </c>
      <c r="C51" s="27" t="n">
        <v>10</v>
      </c>
      <c r="D51" s="43" t="s">
        <v>601</v>
      </c>
      <c r="E51" s="27" t="n">
        <v>13</v>
      </c>
      <c r="F51" s="43" t="s">
        <v>602</v>
      </c>
      <c r="G51" s="27" t="s">
        <v>551</v>
      </c>
      <c r="H51" s="27" t="s">
        <v>599</v>
      </c>
      <c r="I51" s="27" t="s">
        <v>603</v>
      </c>
      <c r="J51" s="49" t="s">
        <v>554</v>
      </c>
    </row>
    <row r="52" customFormat="false" ht="18" hidden="false" customHeight="true" outlineLevel="0" collapsed="false">
      <c r="A52" s="26" t="s">
        <v>457</v>
      </c>
      <c r="B52" s="27" t="s">
        <v>513</v>
      </c>
      <c r="C52" s="27" t="n">
        <v>12</v>
      </c>
      <c r="D52" s="34" t="s">
        <v>604</v>
      </c>
      <c r="E52" s="27" t="n">
        <v>15</v>
      </c>
      <c r="F52" s="34" t="s">
        <v>605</v>
      </c>
      <c r="G52" s="27" t="s">
        <v>516</v>
      </c>
      <c r="H52" s="27" t="s">
        <v>517</v>
      </c>
      <c r="I52" s="27" t="s">
        <v>606</v>
      </c>
      <c r="J52" s="45" t="s">
        <v>519</v>
      </c>
    </row>
    <row r="53" customFormat="false" ht="18" hidden="false" customHeight="true" outlineLevel="0" collapsed="false">
      <c r="A53" s="26" t="s">
        <v>457</v>
      </c>
      <c r="B53" s="27" t="s">
        <v>520</v>
      </c>
      <c r="C53" s="27" t="n">
        <v>12</v>
      </c>
      <c r="D53" s="34" t="s">
        <v>526</v>
      </c>
      <c r="E53" s="27" t="n">
        <v>15</v>
      </c>
      <c r="F53" s="34" t="s">
        <v>607</v>
      </c>
      <c r="G53" s="27" t="s">
        <v>523</v>
      </c>
      <c r="H53" s="27" t="s">
        <v>517</v>
      </c>
      <c r="I53" s="27" t="s">
        <v>608</v>
      </c>
      <c r="J53" s="45" t="s">
        <v>519</v>
      </c>
    </row>
    <row r="54" customFormat="false" ht="18" hidden="false" customHeight="true" outlineLevel="0" collapsed="false">
      <c r="A54" s="26" t="s">
        <v>457</v>
      </c>
      <c r="B54" s="27" t="s">
        <v>514</v>
      </c>
      <c r="C54" s="27" t="n">
        <v>12</v>
      </c>
      <c r="D54" s="42" t="s">
        <v>609</v>
      </c>
      <c r="E54" s="27" t="n">
        <v>15</v>
      </c>
      <c r="F54" s="42" t="s">
        <v>610</v>
      </c>
      <c r="G54" s="27" t="s">
        <v>527</v>
      </c>
      <c r="H54" s="27" t="s">
        <v>517</v>
      </c>
      <c r="I54" s="27" t="s">
        <v>611</v>
      </c>
      <c r="J54" s="45" t="s">
        <v>533</v>
      </c>
    </row>
    <row r="55" customFormat="false" ht="18" hidden="false" customHeight="true" outlineLevel="0" collapsed="false">
      <c r="A55" s="26" t="s">
        <v>457</v>
      </c>
      <c r="B55" s="27" t="s">
        <v>515</v>
      </c>
      <c r="C55" s="27" t="n">
        <v>12</v>
      </c>
      <c r="D55" s="46" t="s">
        <v>612</v>
      </c>
      <c r="E55" s="27" t="n">
        <v>15</v>
      </c>
      <c r="F55" s="46" t="s">
        <v>613</v>
      </c>
      <c r="G55" s="27" t="s">
        <v>531</v>
      </c>
      <c r="H55" s="27" t="s">
        <v>614</v>
      </c>
      <c r="I55" s="27" t="s">
        <v>615</v>
      </c>
      <c r="J55" s="47" t="s">
        <v>544</v>
      </c>
    </row>
    <row r="56" customFormat="false" ht="18" hidden="false" customHeight="true" outlineLevel="0" collapsed="false">
      <c r="A56" s="26" t="s">
        <v>457</v>
      </c>
      <c r="B56" s="27" t="s">
        <v>534</v>
      </c>
      <c r="C56" s="27" t="n">
        <v>12</v>
      </c>
      <c r="D56" s="46" t="s">
        <v>616</v>
      </c>
      <c r="E56" s="27" t="n">
        <v>15</v>
      </c>
      <c r="F56" s="43" t="s">
        <v>33</v>
      </c>
      <c r="G56" s="27" t="s">
        <v>536</v>
      </c>
      <c r="H56" s="27" t="s">
        <v>617</v>
      </c>
      <c r="I56" s="27" t="s">
        <v>618</v>
      </c>
      <c r="J56" s="48" t="s">
        <v>548</v>
      </c>
    </row>
    <row r="57" customFormat="false" ht="18" hidden="false" customHeight="true" outlineLevel="0" collapsed="false">
      <c r="A57" s="26" t="s">
        <v>457</v>
      </c>
      <c r="B57" s="27" t="s">
        <v>538</v>
      </c>
      <c r="C57" s="27" t="n">
        <v>12</v>
      </c>
      <c r="D57" s="43" t="s">
        <v>619</v>
      </c>
      <c r="E57" s="27" t="n">
        <v>15</v>
      </c>
      <c r="F57" s="43" t="s">
        <v>620</v>
      </c>
      <c r="G57" s="27" t="s">
        <v>541</v>
      </c>
      <c r="H57" s="27" t="s">
        <v>599</v>
      </c>
      <c r="I57" s="27" t="s">
        <v>621</v>
      </c>
      <c r="J57" s="49" t="s">
        <v>554</v>
      </c>
    </row>
    <row r="58" customFormat="false" ht="18" hidden="false" customHeight="true" outlineLevel="0" collapsed="false">
      <c r="A58" s="26" t="s">
        <v>457</v>
      </c>
      <c r="B58" s="27" t="s">
        <v>499</v>
      </c>
      <c r="C58" s="27" t="n">
        <v>12</v>
      </c>
      <c r="D58" s="43" t="s">
        <v>622</v>
      </c>
      <c r="E58" s="27" t="n">
        <v>15</v>
      </c>
      <c r="F58" s="43" t="s">
        <v>623</v>
      </c>
      <c r="G58" s="27" t="s">
        <v>545</v>
      </c>
      <c r="H58" s="27" t="s">
        <v>599</v>
      </c>
      <c r="I58" s="27" t="s">
        <v>624</v>
      </c>
      <c r="J58" s="49" t="s">
        <v>554</v>
      </c>
    </row>
    <row r="59" customFormat="false" ht="18" hidden="false" customHeight="true" outlineLevel="0" collapsed="false">
      <c r="A59" s="26" t="s">
        <v>457</v>
      </c>
      <c r="B59" s="27" t="s">
        <v>437</v>
      </c>
      <c r="C59" s="27" t="n">
        <v>12</v>
      </c>
      <c r="D59" s="43" t="s">
        <v>625</v>
      </c>
      <c r="E59" s="27" t="n">
        <v>15</v>
      </c>
      <c r="F59" s="43" t="s">
        <v>626</v>
      </c>
      <c r="G59" s="27" t="s">
        <v>551</v>
      </c>
      <c r="H59" s="27" t="s">
        <v>599</v>
      </c>
      <c r="I59" s="27" t="s">
        <v>627</v>
      </c>
      <c r="J59" s="49" t="s">
        <v>554</v>
      </c>
    </row>
    <row r="60" customFormat="false" ht="18" hidden="false" customHeight="true" outlineLevel="0" collapsed="false">
      <c r="A60" s="26" t="s">
        <v>465</v>
      </c>
      <c r="B60" s="27" t="s">
        <v>513</v>
      </c>
      <c r="C60" s="27" t="n">
        <v>28</v>
      </c>
      <c r="D60" s="34" t="s">
        <v>628</v>
      </c>
      <c r="E60" s="27" t="n">
        <v>31</v>
      </c>
      <c r="F60" s="34" t="s">
        <v>629</v>
      </c>
      <c r="G60" s="27" t="s">
        <v>516</v>
      </c>
      <c r="H60" s="27" t="s">
        <v>517</v>
      </c>
      <c r="I60" s="27" t="s">
        <v>630</v>
      </c>
      <c r="J60" s="45" t="s">
        <v>519</v>
      </c>
    </row>
    <row r="61" customFormat="false" ht="18" hidden="false" customHeight="true" outlineLevel="0" collapsed="false">
      <c r="A61" s="26" t="s">
        <v>465</v>
      </c>
      <c r="B61" s="27" t="s">
        <v>520</v>
      </c>
      <c r="C61" s="27" t="n">
        <v>28</v>
      </c>
      <c r="D61" s="42" t="s">
        <v>631</v>
      </c>
      <c r="E61" s="27" t="n">
        <v>31</v>
      </c>
      <c r="F61" s="42" t="s">
        <v>632</v>
      </c>
      <c r="G61" s="27" t="s">
        <v>523</v>
      </c>
      <c r="H61" s="27" t="s">
        <v>517</v>
      </c>
      <c r="I61" s="27" t="s">
        <v>633</v>
      </c>
      <c r="J61" s="45" t="s">
        <v>533</v>
      </c>
    </row>
    <row r="62" customFormat="false" ht="18" hidden="false" customHeight="true" outlineLevel="0" collapsed="false">
      <c r="A62" s="26" t="s">
        <v>465</v>
      </c>
      <c r="B62" s="27" t="s">
        <v>514</v>
      </c>
      <c r="C62" s="27" t="n">
        <v>28</v>
      </c>
      <c r="D62" s="46" t="s">
        <v>634</v>
      </c>
      <c r="E62" s="27" t="n">
        <v>31</v>
      </c>
      <c r="F62" s="46" t="s">
        <v>635</v>
      </c>
      <c r="G62" s="27" t="s">
        <v>527</v>
      </c>
      <c r="H62" s="27" t="s">
        <v>636</v>
      </c>
      <c r="I62" s="27" t="s">
        <v>637</v>
      </c>
      <c r="J62" s="47" t="s">
        <v>544</v>
      </c>
    </row>
    <row r="63" customFormat="false" ht="18" hidden="false" customHeight="true" outlineLevel="0" collapsed="false">
      <c r="A63" s="26" t="s">
        <v>465</v>
      </c>
      <c r="B63" s="27" t="s">
        <v>515</v>
      </c>
      <c r="C63" s="27" t="n">
        <v>28</v>
      </c>
      <c r="D63" s="43" t="s">
        <v>363</v>
      </c>
      <c r="E63" s="27" t="n">
        <v>31</v>
      </c>
      <c r="F63" s="43" t="s">
        <v>638</v>
      </c>
      <c r="G63" s="27" t="s">
        <v>531</v>
      </c>
      <c r="H63" s="27" t="s">
        <v>639</v>
      </c>
      <c r="I63" s="27" t="s">
        <v>640</v>
      </c>
      <c r="J63" s="48" t="s">
        <v>548</v>
      </c>
    </row>
    <row r="64" customFormat="false" ht="18" hidden="false" customHeight="true" outlineLevel="0" collapsed="false">
      <c r="A64" s="26" t="s">
        <v>465</v>
      </c>
      <c r="B64" s="27" t="s">
        <v>534</v>
      </c>
      <c r="C64" s="27" t="n">
        <v>28</v>
      </c>
      <c r="D64" s="43" t="s">
        <v>641</v>
      </c>
      <c r="E64" s="27" t="n">
        <v>31</v>
      </c>
      <c r="F64" s="43" t="s">
        <v>642</v>
      </c>
      <c r="G64" s="27" t="s">
        <v>536</v>
      </c>
      <c r="H64" s="27" t="s">
        <v>599</v>
      </c>
      <c r="I64" s="27" t="s">
        <v>643</v>
      </c>
      <c r="J64" s="49" t="s">
        <v>554</v>
      </c>
    </row>
    <row r="65" customFormat="false" ht="18" hidden="false" customHeight="true" outlineLevel="0" collapsed="false">
      <c r="A65" s="26" t="s">
        <v>465</v>
      </c>
      <c r="B65" s="27" t="s">
        <v>538</v>
      </c>
      <c r="C65" s="27" t="n">
        <v>28</v>
      </c>
      <c r="D65" s="43" t="s">
        <v>644</v>
      </c>
      <c r="E65" s="27" t="n">
        <v>31</v>
      </c>
      <c r="F65" s="43" t="s">
        <v>645</v>
      </c>
      <c r="G65" s="27" t="s">
        <v>541</v>
      </c>
      <c r="H65" s="27" t="s">
        <v>599</v>
      </c>
      <c r="I65" s="27" t="s">
        <v>646</v>
      </c>
      <c r="J65" s="49" t="s">
        <v>554</v>
      </c>
    </row>
    <row r="66" customFormat="false" ht="18" hidden="false" customHeight="true" outlineLevel="0" collapsed="false">
      <c r="A66" s="26" t="s">
        <v>465</v>
      </c>
      <c r="B66" s="27" t="s">
        <v>499</v>
      </c>
      <c r="C66" s="27" t="n">
        <v>28</v>
      </c>
      <c r="D66" s="43" t="s">
        <v>647</v>
      </c>
      <c r="E66" s="27" t="n">
        <v>31</v>
      </c>
      <c r="F66" s="43" t="s">
        <v>31</v>
      </c>
      <c r="G66" s="27" t="s">
        <v>545</v>
      </c>
      <c r="H66" s="27" t="s">
        <v>599</v>
      </c>
      <c r="I66" s="27" t="s">
        <v>648</v>
      </c>
      <c r="J66" s="49" t="s">
        <v>554</v>
      </c>
    </row>
    <row r="67" customFormat="false" ht="18" hidden="false" customHeight="true" outlineLevel="0" collapsed="false">
      <c r="A67" s="26" t="s">
        <v>465</v>
      </c>
      <c r="B67" s="27" t="s">
        <v>437</v>
      </c>
      <c r="C67" s="27" t="n">
        <v>28</v>
      </c>
      <c r="D67" s="43" t="s">
        <v>649</v>
      </c>
      <c r="E67" s="27" t="n">
        <v>31</v>
      </c>
      <c r="F67" s="43" t="s">
        <v>650</v>
      </c>
      <c r="G67" s="27" t="s">
        <v>551</v>
      </c>
      <c r="H67" s="27" t="s">
        <v>599</v>
      </c>
      <c r="I67" s="27" t="s">
        <v>651</v>
      </c>
      <c r="J67" s="49" t="s">
        <v>554</v>
      </c>
    </row>
    <row r="68" customFormat="false" ht="6" hidden="false" customHeight="true" outlineLevel="0" collapsed="false">
      <c r="A68" s="4"/>
      <c r="B68" s="5"/>
      <c r="C68" s="5"/>
      <c r="D68" s="5"/>
      <c r="E68" s="5"/>
      <c r="F68" s="5"/>
      <c r="G68" s="5"/>
      <c r="H68" s="5"/>
      <c r="I68" s="5"/>
      <c r="J68" s="5"/>
    </row>
    <row r="69" customFormat="false" ht="24" hidden="false" customHeight="true" outlineLevel="0" collapsed="false">
      <c r="A69" s="6" t="s">
        <v>652</v>
      </c>
      <c r="B69" s="6"/>
      <c r="C69" s="6"/>
      <c r="D69" s="6"/>
      <c r="E69" s="6"/>
      <c r="F69" s="6"/>
      <c r="G69" s="6"/>
      <c r="H69" s="6"/>
      <c r="I69" s="6"/>
      <c r="J69" s="6"/>
    </row>
    <row r="70" customFormat="false" ht="23.25" hidden="false" customHeight="true" outlineLevel="0" collapsed="false">
      <c r="A70" s="31" t="s">
        <v>653</v>
      </c>
      <c r="B70" s="32" t="s">
        <v>654</v>
      </c>
      <c r="C70" s="32" t="s">
        <v>655</v>
      </c>
      <c r="D70" s="32" t="s">
        <v>656</v>
      </c>
      <c r="E70" s="32" t="s">
        <v>657</v>
      </c>
      <c r="F70" s="32" t="s">
        <v>658</v>
      </c>
      <c r="G70" s="32"/>
      <c r="H70" s="32"/>
      <c r="I70" s="32"/>
      <c r="J70" s="32"/>
    </row>
    <row r="71" customFormat="false" ht="18" hidden="false" customHeight="true" outlineLevel="0" collapsed="false">
      <c r="A71" s="35" t="s">
        <v>659</v>
      </c>
      <c r="B71" s="27" t="s">
        <v>538</v>
      </c>
      <c r="C71" s="27" t="s">
        <v>534</v>
      </c>
      <c r="D71" s="27" t="s">
        <v>520</v>
      </c>
      <c r="E71" s="27" t="s">
        <v>514</v>
      </c>
      <c r="F71" s="27" t="s">
        <v>513</v>
      </c>
      <c r="G71" s="27"/>
      <c r="H71" s="27"/>
      <c r="I71" s="27"/>
      <c r="J71" s="27"/>
    </row>
    <row r="72" customFormat="false" ht="18" hidden="false" customHeight="true" outlineLevel="0" collapsed="false">
      <c r="A72" s="35" t="s">
        <v>660</v>
      </c>
      <c r="B72" s="27" t="s">
        <v>436</v>
      </c>
      <c r="C72" s="27" t="s">
        <v>444</v>
      </c>
      <c r="D72" s="27" t="s">
        <v>33</v>
      </c>
      <c r="E72" s="27" t="s">
        <v>458</v>
      </c>
      <c r="F72" s="27" t="s">
        <v>50</v>
      </c>
      <c r="G72" s="27"/>
      <c r="H72" s="27"/>
      <c r="I72" s="27"/>
      <c r="J72" s="27"/>
    </row>
    <row r="73" customFormat="false" ht="18" hidden="false" customHeight="true" outlineLevel="0" collapsed="false">
      <c r="A73" s="35" t="s">
        <v>661</v>
      </c>
      <c r="B73" s="27" t="s">
        <v>438</v>
      </c>
      <c r="C73" s="27" t="s">
        <v>446</v>
      </c>
      <c r="D73" s="27" t="s">
        <v>453</v>
      </c>
      <c r="E73" s="27" t="s">
        <v>460</v>
      </c>
      <c r="F73" s="27" t="s">
        <v>467</v>
      </c>
      <c r="G73" s="27"/>
      <c r="H73" s="27"/>
      <c r="I73" s="27"/>
      <c r="J73" s="27"/>
    </row>
    <row r="74" customFormat="false" ht="18" hidden="false" customHeight="true" outlineLevel="0" collapsed="false">
      <c r="A74" s="35" t="s">
        <v>662</v>
      </c>
      <c r="B74" s="27" t="s">
        <v>439</v>
      </c>
      <c r="C74" s="27" t="s">
        <v>447</v>
      </c>
      <c r="D74" s="27" t="s">
        <v>36</v>
      </c>
      <c r="E74" s="27" t="s">
        <v>461</v>
      </c>
      <c r="F74" s="27" t="s">
        <v>53</v>
      </c>
      <c r="G74" s="27"/>
      <c r="H74" s="27"/>
      <c r="I74" s="27"/>
      <c r="J74" s="27"/>
    </row>
    <row r="75" customFormat="false" ht="18" hidden="false" customHeight="true" outlineLevel="0" collapsed="false">
      <c r="A75" s="35" t="s">
        <v>663</v>
      </c>
      <c r="B75" s="27" t="s">
        <v>441</v>
      </c>
      <c r="C75" s="27" t="s">
        <v>449</v>
      </c>
      <c r="D75" s="27" t="s">
        <v>455</v>
      </c>
      <c r="E75" s="27" t="s">
        <v>463</v>
      </c>
      <c r="F75" s="27" t="s">
        <v>469</v>
      </c>
      <c r="G75" s="27"/>
      <c r="H75" s="27"/>
      <c r="I75" s="27"/>
      <c r="J75" s="27"/>
    </row>
    <row r="76" customFormat="false" ht="18" hidden="false" customHeight="true" outlineLevel="0" collapsed="false">
      <c r="A76" s="35" t="s">
        <v>664</v>
      </c>
      <c r="B76" s="27" t="s">
        <v>543</v>
      </c>
      <c r="C76" s="27" t="s">
        <v>568</v>
      </c>
      <c r="D76" s="27" t="s">
        <v>583</v>
      </c>
      <c r="E76" s="27" t="s">
        <v>611</v>
      </c>
      <c r="F76" s="27" t="s">
        <v>630</v>
      </c>
      <c r="G76" s="27"/>
      <c r="H76" s="27"/>
      <c r="I76" s="27"/>
      <c r="J76" s="27"/>
    </row>
    <row r="77" customFormat="false" ht="18" hidden="false" customHeight="true" outlineLevel="0" collapsed="false">
      <c r="A77" s="35" t="s">
        <v>665</v>
      </c>
      <c r="B77" s="27" t="s">
        <v>666</v>
      </c>
      <c r="C77" s="27" t="s">
        <v>667</v>
      </c>
      <c r="D77" s="27" t="s">
        <v>668</v>
      </c>
      <c r="E77" s="27" t="s">
        <v>669</v>
      </c>
      <c r="F77" s="27" t="s">
        <v>670</v>
      </c>
      <c r="G77" s="27"/>
      <c r="H77" s="27"/>
      <c r="I77" s="27"/>
      <c r="J77" s="27"/>
    </row>
    <row r="78" customFormat="false" ht="18" hidden="false" customHeight="true" outlineLevel="0" collapsed="false">
      <c r="A78" s="35" t="s">
        <v>671</v>
      </c>
      <c r="B78" s="27" t="s">
        <v>672</v>
      </c>
      <c r="C78" s="27" t="s">
        <v>673</v>
      </c>
      <c r="D78" s="27" t="s">
        <v>674</v>
      </c>
      <c r="E78" s="27" t="s">
        <v>675</v>
      </c>
      <c r="F78" s="27" t="s">
        <v>676</v>
      </c>
      <c r="G78" s="27"/>
      <c r="H78" s="27"/>
      <c r="I78" s="27"/>
      <c r="J78" s="27"/>
    </row>
    <row r="79" customFormat="false" ht="18" hidden="false" customHeight="true" outlineLevel="0" collapsed="false">
      <c r="A79" s="35" t="s">
        <v>677</v>
      </c>
      <c r="B79" s="27" t="s">
        <v>678</v>
      </c>
      <c r="C79" s="27" t="s">
        <v>679</v>
      </c>
      <c r="D79" s="27" t="s">
        <v>680</v>
      </c>
      <c r="E79" s="27" t="s">
        <v>681</v>
      </c>
      <c r="F79" s="27" t="s">
        <v>682</v>
      </c>
      <c r="G79" s="27"/>
      <c r="H79" s="27"/>
      <c r="I79" s="27"/>
      <c r="J79" s="27"/>
    </row>
    <row r="80" customFormat="false" ht="18" hidden="false" customHeight="true" outlineLevel="0" collapsed="false">
      <c r="A80" s="35" t="s">
        <v>683</v>
      </c>
      <c r="B80" s="27" t="s">
        <v>539</v>
      </c>
      <c r="C80" s="27" t="s">
        <v>566</v>
      </c>
      <c r="D80" s="27" t="s">
        <v>560</v>
      </c>
      <c r="E80" s="27" t="s">
        <v>609</v>
      </c>
      <c r="F80" s="27" t="s">
        <v>628</v>
      </c>
      <c r="G80" s="27"/>
      <c r="H80" s="27"/>
      <c r="I80" s="27"/>
      <c r="J80" s="27"/>
    </row>
    <row r="81" customFormat="false" ht="18" hidden="false" customHeight="true" outlineLevel="0" collapsed="false">
      <c r="A81" s="35" t="s">
        <v>684</v>
      </c>
      <c r="B81" s="27" t="s">
        <v>540</v>
      </c>
      <c r="C81" s="27" t="s">
        <v>567</v>
      </c>
      <c r="D81" s="27" t="s">
        <v>582</v>
      </c>
      <c r="E81" s="27" t="s">
        <v>610</v>
      </c>
      <c r="F81" s="27" t="s">
        <v>629</v>
      </c>
      <c r="G81" s="27"/>
      <c r="H81" s="27"/>
      <c r="I81" s="27"/>
      <c r="J81" s="27"/>
    </row>
    <row r="82" customFormat="false" ht="18" hidden="false" customHeight="true" outlineLevel="0" collapsed="false">
      <c r="A82" s="35" t="s">
        <v>685</v>
      </c>
      <c r="B82" s="27" t="s">
        <v>686</v>
      </c>
      <c r="C82" s="27" t="s">
        <v>687</v>
      </c>
      <c r="D82" s="27" t="s">
        <v>688</v>
      </c>
      <c r="E82" s="27" t="s">
        <v>689</v>
      </c>
      <c r="F82" s="27" t="s">
        <v>690</v>
      </c>
      <c r="G82" s="27"/>
      <c r="H82" s="27"/>
      <c r="I82" s="27"/>
      <c r="J82" s="27"/>
    </row>
    <row r="83" customFormat="false" ht="18" hidden="false" customHeight="true" outlineLevel="0" collapsed="false">
      <c r="A83" s="35" t="s">
        <v>691</v>
      </c>
      <c r="B83" s="27" t="s">
        <v>542</v>
      </c>
      <c r="C83" s="27" t="s">
        <v>517</v>
      </c>
      <c r="D83" s="27" t="s">
        <v>517</v>
      </c>
      <c r="E83" s="27" t="s">
        <v>517</v>
      </c>
      <c r="F83" s="27" t="s">
        <v>517</v>
      </c>
      <c r="G83" s="27"/>
      <c r="H83" s="27"/>
      <c r="I83" s="27"/>
      <c r="J83" s="27"/>
    </row>
    <row r="84" customFormat="false" ht="18" hidden="false" customHeight="true" outlineLevel="0" collapsed="false">
      <c r="A84" s="35" t="s">
        <v>692</v>
      </c>
      <c r="B84" s="27" t="s">
        <v>693</v>
      </c>
      <c r="C84" s="27" t="s">
        <v>694</v>
      </c>
      <c r="D84" s="27" t="s">
        <v>695</v>
      </c>
      <c r="E84" s="27" t="s">
        <v>696</v>
      </c>
      <c r="F84" s="27" t="s">
        <v>697</v>
      </c>
      <c r="G84" s="27"/>
      <c r="H84" s="27"/>
      <c r="I84" s="27"/>
      <c r="J84" s="27"/>
    </row>
    <row r="85" customFormat="false" ht="6" hidden="false" customHeight="true" outlineLevel="0" collapsed="false">
      <c r="A85" s="4"/>
      <c r="B85" s="5"/>
      <c r="C85" s="5"/>
      <c r="D85" s="5"/>
      <c r="E85" s="5"/>
      <c r="F85" s="5"/>
      <c r="G85" s="5"/>
      <c r="H85" s="5"/>
      <c r="I85" s="5"/>
      <c r="J85" s="5"/>
    </row>
    <row r="86" customFormat="false" ht="24" hidden="false" customHeight="true" outlineLevel="0" collapsed="false">
      <c r="A86" s="6" t="s">
        <v>698</v>
      </c>
      <c r="B86" s="6"/>
      <c r="C86" s="6"/>
      <c r="D86" s="6"/>
      <c r="E86" s="6"/>
      <c r="F86" s="6"/>
      <c r="G86" s="6"/>
      <c r="H86" s="6"/>
      <c r="I86" s="6"/>
      <c r="J86" s="6"/>
    </row>
    <row r="87" customFormat="false" ht="37.5" hidden="false" customHeight="true" outlineLevel="0" collapsed="false">
      <c r="A87" s="30" t="s">
        <v>699</v>
      </c>
      <c r="B87" s="30"/>
      <c r="C87" s="30"/>
      <c r="D87" s="30"/>
      <c r="E87" s="30"/>
      <c r="F87" s="30"/>
      <c r="G87" s="30"/>
      <c r="H87" s="30"/>
      <c r="I87" s="30"/>
      <c r="J87" s="30"/>
    </row>
    <row r="88" customFormat="false" ht="27" hidden="false" customHeight="true" outlineLevel="0" collapsed="false">
      <c r="A88" s="30" t="s">
        <v>700</v>
      </c>
      <c r="B88" s="30"/>
      <c r="C88" s="30"/>
      <c r="D88" s="30"/>
      <c r="E88" s="30"/>
      <c r="F88" s="30"/>
      <c r="G88" s="30"/>
      <c r="H88" s="30"/>
      <c r="I88" s="30"/>
      <c r="J88" s="30"/>
    </row>
    <row r="89" customFormat="false" ht="30" hidden="false" customHeight="true" outlineLevel="0" collapsed="false">
      <c r="A89" s="30" t="s">
        <v>701</v>
      </c>
      <c r="B89" s="30"/>
      <c r="C89" s="30"/>
      <c r="D89" s="30"/>
      <c r="E89" s="30"/>
      <c r="F89" s="30"/>
      <c r="G89" s="30"/>
      <c r="H89" s="30"/>
      <c r="I89" s="30"/>
      <c r="J89" s="30"/>
    </row>
    <row r="90" customFormat="false" ht="6" hidden="false" customHeight="true" outlineLevel="0" collapsed="false">
      <c r="A90" s="4"/>
      <c r="B90" s="5"/>
      <c r="C90" s="5"/>
      <c r="D90" s="5"/>
      <c r="E90" s="5"/>
      <c r="F90" s="5"/>
      <c r="G90" s="5"/>
      <c r="H90" s="5"/>
      <c r="I90" s="5"/>
      <c r="J90" s="5"/>
    </row>
    <row r="91" customFormat="false" ht="24" hidden="false" customHeight="true" outlineLevel="0" collapsed="false">
      <c r="A91" s="6" t="s">
        <v>702</v>
      </c>
      <c r="B91" s="6"/>
      <c r="C91" s="6"/>
      <c r="D91" s="6"/>
      <c r="E91" s="6"/>
      <c r="F91" s="6"/>
      <c r="G91" s="6"/>
      <c r="H91" s="6"/>
      <c r="I91" s="6"/>
      <c r="J91" s="6"/>
    </row>
    <row r="92" customFormat="false" ht="21.75" hidden="false" customHeight="true" outlineLevel="0" collapsed="false">
      <c r="A92" s="30" t="s">
        <v>703</v>
      </c>
      <c r="B92" s="30"/>
      <c r="C92" s="30"/>
      <c r="D92" s="30"/>
      <c r="E92" s="30"/>
      <c r="F92" s="30"/>
      <c r="G92" s="30"/>
      <c r="H92" s="30"/>
      <c r="I92" s="30"/>
      <c r="J92" s="30"/>
    </row>
    <row r="93" customFormat="false" ht="18" hidden="false" customHeight="true" outlineLevel="0" collapsed="false">
      <c r="A93" s="31" t="s">
        <v>5</v>
      </c>
      <c r="B93" s="32" t="s">
        <v>431</v>
      </c>
      <c r="C93" s="32" t="s">
        <v>704</v>
      </c>
      <c r="D93" s="32" t="s">
        <v>705</v>
      </c>
      <c r="E93" s="32" t="s">
        <v>706</v>
      </c>
      <c r="F93" s="32" t="s">
        <v>707</v>
      </c>
      <c r="G93" s="32" t="s">
        <v>708</v>
      </c>
      <c r="H93" s="32" t="s">
        <v>709</v>
      </c>
      <c r="I93" s="32"/>
      <c r="J93" s="32"/>
    </row>
    <row r="94" customFormat="false" ht="18" hidden="false" customHeight="true" outlineLevel="0" collapsed="false">
      <c r="A94" s="26" t="s">
        <v>14</v>
      </c>
      <c r="B94" s="27" t="s">
        <v>436</v>
      </c>
      <c r="C94" s="34" t="s">
        <v>710</v>
      </c>
      <c r="D94" s="27" t="s">
        <v>711</v>
      </c>
      <c r="E94" s="42" t="s">
        <v>712</v>
      </c>
      <c r="F94" s="27" t="s">
        <v>713</v>
      </c>
      <c r="G94" s="46" t="s">
        <v>714</v>
      </c>
      <c r="H94" s="27" t="s">
        <v>715</v>
      </c>
      <c r="I94" s="27"/>
      <c r="J94" s="27"/>
    </row>
    <row r="95" customFormat="false" ht="18" hidden="false" customHeight="true" outlineLevel="0" collapsed="false">
      <c r="A95" s="26" t="s">
        <v>23</v>
      </c>
      <c r="B95" s="27" t="s">
        <v>444</v>
      </c>
      <c r="C95" s="34" t="s">
        <v>716</v>
      </c>
      <c r="D95" s="27" t="s">
        <v>717</v>
      </c>
      <c r="E95" s="42" t="s">
        <v>718</v>
      </c>
      <c r="F95" s="27" t="s">
        <v>719</v>
      </c>
      <c r="G95" s="46" t="s">
        <v>720</v>
      </c>
      <c r="H95" s="27" t="s">
        <v>721</v>
      </c>
      <c r="I95" s="27"/>
      <c r="J95" s="27"/>
    </row>
    <row r="96" customFormat="false" ht="18" hidden="false" customHeight="true" outlineLevel="0" collapsed="false">
      <c r="A96" s="26" t="s">
        <v>451</v>
      </c>
      <c r="B96" s="27" t="s">
        <v>33</v>
      </c>
      <c r="C96" s="34" t="s">
        <v>722</v>
      </c>
      <c r="D96" s="27" t="s">
        <v>723</v>
      </c>
      <c r="E96" s="42" t="s">
        <v>521</v>
      </c>
      <c r="F96" s="27" t="s">
        <v>724</v>
      </c>
      <c r="G96" s="46" t="s">
        <v>725</v>
      </c>
      <c r="H96" s="27" t="s">
        <v>726</v>
      </c>
      <c r="I96" s="27"/>
      <c r="J96" s="27"/>
    </row>
    <row r="97" customFormat="false" ht="18" hidden="false" customHeight="true" outlineLevel="0" collapsed="false">
      <c r="A97" s="26" t="s">
        <v>457</v>
      </c>
      <c r="B97" s="27" t="s">
        <v>458</v>
      </c>
      <c r="C97" s="34" t="s">
        <v>727</v>
      </c>
      <c r="D97" s="27" t="s">
        <v>728</v>
      </c>
      <c r="E97" s="42" t="s">
        <v>729</v>
      </c>
      <c r="F97" s="27" t="s">
        <v>730</v>
      </c>
      <c r="G97" s="46" t="s">
        <v>522</v>
      </c>
      <c r="H97" s="27" t="s">
        <v>731</v>
      </c>
      <c r="I97" s="27"/>
      <c r="J97" s="27"/>
    </row>
    <row r="98" customFormat="false" ht="18" hidden="false" customHeight="true" outlineLevel="0" collapsed="false">
      <c r="A98" s="26" t="s">
        <v>465</v>
      </c>
      <c r="B98" s="27" t="s">
        <v>50</v>
      </c>
      <c r="C98" s="34" t="s">
        <v>732</v>
      </c>
      <c r="D98" s="27" t="s">
        <v>733</v>
      </c>
      <c r="E98" s="42" t="s">
        <v>495</v>
      </c>
      <c r="F98" s="27" t="s">
        <v>734</v>
      </c>
      <c r="G98" s="46" t="s">
        <v>735</v>
      </c>
      <c r="H98" s="27" t="s">
        <v>736</v>
      </c>
      <c r="I98" s="27"/>
      <c r="J98" s="27"/>
    </row>
    <row r="99" customFormat="false" ht="6" hidden="false" customHeight="true" outlineLevel="0" collapsed="false">
      <c r="A99" s="4"/>
      <c r="B99" s="5"/>
      <c r="C99" s="5"/>
      <c r="D99" s="5"/>
      <c r="E99" s="5"/>
      <c r="F99" s="5"/>
      <c r="G99" s="5"/>
      <c r="H99" s="5"/>
      <c r="I99" s="5"/>
      <c r="J99" s="5"/>
    </row>
    <row r="100" customFormat="false" ht="6" hidden="false" customHeight="true" outlineLevel="0" collapsed="false">
      <c r="A100" s="4"/>
      <c r="B100" s="5"/>
      <c r="C100" s="5"/>
      <c r="D100" s="5"/>
      <c r="E100" s="5"/>
      <c r="F100" s="5"/>
      <c r="G100" s="5"/>
      <c r="H100" s="5"/>
      <c r="I100" s="5"/>
      <c r="J100" s="5"/>
    </row>
    <row r="101" customFormat="false" ht="24" hidden="false" customHeight="true" outlineLevel="0" collapsed="false">
      <c r="A101" s="38" t="s">
        <v>737</v>
      </c>
      <c r="B101" s="38"/>
      <c r="C101" s="38"/>
      <c r="D101" s="38"/>
      <c r="E101" s="38"/>
      <c r="F101" s="38"/>
      <c r="G101" s="38"/>
      <c r="H101" s="38"/>
      <c r="I101" s="38"/>
      <c r="J101" s="38"/>
    </row>
    <row r="102" customFormat="false" ht="21.75" hidden="false" customHeight="true" outlineLevel="0" collapsed="false">
      <c r="A102" s="30" t="s">
        <v>738</v>
      </c>
      <c r="B102" s="30"/>
      <c r="C102" s="30"/>
      <c r="D102" s="30"/>
      <c r="E102" s="30"/>
      <c r="F102" s="30"/>
      <c r="G102" s="30"/>
      <c r="H102" s="30"/>
      <c r="I102" s="30"/>
      <c r="J102" s="30"/>
    </row>
    <row r="103" customFormat="false" ht="23.25" hidden="false" customHeight="true" outlineLevel="0" collapsed="false">
      <c r="A103" s="31" t="s">
        <v>5</v>
      </c>
      <c r="B103" s="32" t="s">
        <v>739</v>
      </c>
      <c r="C103" s="32" t="s">
        <v>740</v>
      </c>
      <c r="D103" s="32" t="s">
        <v>10</v>
      </c>
      <c r="E103" s="32" t="s">
        <v>741</v>
      </c>
      <c r="F103" s="32" t="s">
        <v>742</v>
      </c>
      <c r="G103" s="32" t="s">
        <v>743</v>
      </c>
      <c r="H103" s="32" t="s">
        <v>744</v>
      </c>
      <c r="I103" s="32" t="s">
        <v>745</v>
      </c>
      <c r="J103" s="32"/>
    </row>
    <row r="104" customFormat="false" ht="18" hidden="false" customHeight="true" outlineLevel="0" collapsed="false">
      <c r="A104" s="33" t="s">
        <v>14</v>
      </c>
      <c r="B104" s="34" t="s">
        <v>746</v>
      </c>
      <c r="C104" s="34" t="s">
        <v>747</v>
      </c>
      <c r="D104" s="34" t="s">
        <v>440</v>
      </c>
      <c r="E104" s="34" t="s">
        <v>748</v>
      </c>
      <c r="F104" s="34" t="s">
        <v>749</v>
      </c>
      <c r="G104" s="34" t="s">
        <v>750</v>
      </c>
      <c r="H104" s="34" t="s">
        <v>751</v>
      </c>
      <c r="I104" s="34" t="s">
        <v>752</v>
      </c>
      <c r="J104" s="27"/>
    </row>
    <row r="105" customFormat="false" ht="18" hidden="false" customHeight="true" outlineLevel="0" collapsed="false">
      <c r="A105" s="41" t="s">
        <v>14</v>
      </c>
      <c r="B105" s="42" t="s">
        <v>753</v>
      </c>
      <c r="C105" s="42" t="s">
        <v>754</v>
      </c>
      <c r="D105" s="42" t="s">
        <v>440</v>
      </c>
      <c r="E105" s="42" t="s">
        <v>666</v>
      </c>
      <c r="F105" s="42" t="s">
        <v>755</v>
      </c>
      <c r="G105" s="42" t="s">
        <v>756</v>
      </c>
      <c r="H105" s="42" t="s">
        <v>757</v>
      </c>
      <c r="I105" s="42" t="s">
        <v>758</v>
      </c>
      <c r="J105" s="27"/>
    </row>
    <row r="106" customFormat="false" ht="18" hidden="false" customHeight="true" outlineLevel="0" collapsed="false">
      <c r="A106" s="33" t="s">
        <v>23</v>
      </c>
      <c r="B106" s="34" t="s">
        <v>759</v>
      </c>
      <c r="C106" s="34" t="s">
        <v>760</v>
      </c>
      <c r="D106" s="34" t="s">
        <v>448</v>
      </c>
      <c r="E106" s="34" t="s">
        <v>761</v>
      </c>
      <c r="F106" s="34" t="s">
        <v>762</v>
      </c>
      <c r="G106" s="34" t="s">
        <v>763</v>
      </c>
      <c r="H106" s="34" t="s">
        <v>764</v>
      </c>
      <c r="I106" s="34" t="s">
        <v>765</v>
      </c>
      <c r="J106" s="27"/>
    </row>
    <row r="107" customFormat="false" ht="18" hidden="false" customHeight="true" outlineLevel="0" collapsed="false">
      <c r="A107" s="41" t="s">
        <v>23</v>
      </c>
      <c r="B107" s="42" t="s">
        <v>746</v>
      </c>
      <c r="C107" s="42" t="s">
        <v>747</v>
      </c>
      <c r="D107" s="42" t="s">
        <v>448</v>
      </c>
      <c r="E107" s="42" t="s">
        <v>667</v>
      </c>
      <c r="F107" s="42" t="s">
        <v>766</v>
      </c>
      <c r="G107" s="42" t="s">
        <v>767</v>
      </c>
      <c r="H107" s="42" t="s">
        <v>768</v>
      </c>
      <c r="I107" s="42" t="s">
        <v>769</v>
      </c>
      <c r="J107" s="27"/>
    </row>
    <row r="108" customFormat="false" ht="18" hidden="false" customHeight="true" outlineLevel="0" collapsed="false">
      <c r="A108" s="33" t="s">
        <v>451</v>
      </c>
      <c r="B108" s="34" t="s">
        <v>770</v>
      </c>
      <c r="C108" s="34" t="s">
        <v>771</v>
      </c>
      <c r="D108" s="34" t="s">
        <v>454</v>
      </c>
      <c r="E108" s="34" t="s">
        <v>668</v>
      </c>
      <c r="F108" s="34" t="s">
        <v>772</v>
      </c>
      <c r="G108" s="34" t="s">
        <v>773</v>
      </c>
      <c r="H108" s="34" t="s">
        <v>774</v>
      </c>
      <c r="I108" s="34" t="s">
        <v>775</v>
      </c>
      <c r="J108" s="27"/>
    </row>
    <row r="109" customFormat="false" ht="18" hidden="false" customHeight="true" outlineLevel="0" collapsed="false">
      <c r="A109" s="33" t="s">
        <v>451</v>
      </c>
      <c r="B109" s="34" t="s">
        <v>776</v>
      </c>
      <c r="C109" s="34" t="s">
        <v>777</v>
      </c>
      <c r="D109" s="34" t="s">
        <v>454</v>
      </c>
      <c r="E109" s="34" t="s">
        <v>778</v>
      </c>
      <c r="F109" s="34" t="s">
        <v>779</v>
      </c>
      <c r="G109" s="34" t="s">
        <v>780</v>
      </c>
      <c r="H109" s="34" t="s">
        <v>781</v>
      </c>
      <c r="I109" s="34" t="s">
        <v>782</v>
      </c>
      <c r="J109" s="27"/>
    </row>
    <row r="110" customFormat="false" ht="18" hidden="false" customHeight="true" outlineLevel="0" collapsed="false">
      <c r="A110" s="41" t="s">
        <v>451</v>
      </c>
      <c r="B110" s="42" t="s">
        <v>759</v>
      </c>
      <c r="C110" s="42" t="s">
        <v>760</v>
      </c>
      <c r="D110" s="42" t="s">
        <v>454</v>
      </c>
      <c r="E110" s="42" t="s">
        <v>783</v>
      </c>
      <c r="F110" s="42" t="s">
        <v>784</v>
      </c>
      <c r="G110" s="42" t="s">
        <v>785</v>
      </c>
      <c r="H110" s="42" t="s">
        <v>786</v>
      </c>
      <c r="I110" s="42" t="s">
        <v>787</v>
      </c>
      <c r="J110" s="27"/>
    </row>
    <row r="111" customFormat="false" ht="18" hidden="false" customHeight="true" outlineLevel="0" collapsed="false">
      <c r="A111" s="41" t="s">
        <v>457</v>
      </c>
      <c r="B111" s="42" t="s">
        <v>776</v>
      </c>
      <c r="C111" s="42" t="s">
        <v>777</v>
      </c>
      <c r="D111" s="42" t="s">
        <v>462</v>
      </c>
      <c r="E111" s="42" t="s">
        <v>669</v>
      </c>
      <c r="F111" s="42" t="s">
        <v>788</v>
      </c>
      <c r="G111" s="42" t="s">
        <v>789</v>
      </c>
      <c r="H111" s="42" t="s">
        <v>790</v>
      </c>
      <c r="I111" s="42" t="s">
        <v>791</v>
      </c>
      <c r="J111" s="27"/>
    </row>
    <row r="112" customFormat="false" ht="6" hidden="false" customHeight="true" outlineLevel="0" collapsed="false">
      <c r="A112" s="4"/>
      <c r="B112" s="5"/>
      <c r="C112" s="5"/>
      <c r="D112" s="5"/>
      <c r="E112" s="5"/>
      <c r="F112" s="5"/>
      <c r="G112" s="5"/>
      <c r="H112" s="5"/>
      <c r="I112" s="5"/>
      <c r="J112" s="5"/>
    </row>
    <row r="113" customFormat="false" ht="6" hidden="false" customHeight="true" outlineLevel="0" collapsed="false">
      <c r="A113" s="4"/>
      <c r="B113" s="5"/>
      <c r="C113" s="5"/>
      <c r="D113" s="5"/>
      <c r="E113" s="5"/>
      <c r="F113" s="5"/>
      <c r="G113" s="5"/>
      <c r="H113" s="5"/>
      <c r="I113" s="5"/>
      <c r="J113" s="5"/>
    </row>
    <row r="114" customFormat="false" ht="24" hidden="false" customHeight="true" outlineLevel="0" collapsed="false">
      <c r="A114" s="38" t="s">
        <v>792</v>
      </c>
      <c r="B114" s="38"/>
      <c r="C114" s="38"/>
      <c r="D114" s="38"/>
      <c r="E114" s="38"/>
      <c r="F114" s="38"/>
      <c r="G114" s="38"/>
      <c r="H114" s="38"/>
      <c r="I114" s="38"/>
      <c r="J114" s="38"/>
    </row>
    <row r="115" customFormat="false" ht="21.75" hidden="false" customHeight="true" outlineLevel="0" collapsed="false">
      <c r="A115" s="30" t="s">
        <v>793</v>
      </c>
      <c r="B115" s="30"/>
      <c r="C115" s="30"/>
      <c r="D115" s="30"/>
      <c r="E115" s="30"/>
      <c r="F115" s="30"/>
      <c r="G115" s="30"/>
      <c r="H115" s="30"/>
      <c r="I115" s="30"/>
      <c r="J115" s="30"/>
    </row>
    <row r="116" customFormat="false" ht="23.25" hidden="false" customHeight="true" outlineLevel="0" collapsed="false">
      <c r="A116" s="31" t="s">
        <v>5</v>
      </c>
      <c r="B116" s="32" t="s">
        <v>794</v>
      </c>
      <c r="C116" s="32" t="s">
        <v>795</v>
      </c>
      <c r="D116" s="32" t="s">
        <v>796</v>
      </c>
      <c r="E116" s="32" t="s">
        <v>797</v>
      </c>
      <c r="F116" s="32" t="s">
        <v>798</v>
      </c>
      <c r="G116" s="32" t="s">
        <v>799</v>
      </c>
      <c r="H116" s="32" t="s">
        <v>800</v>
      </c>
      <c r="I116" s="32" t="s">
        <v>801</v>
      </c>
      <c r="J116" s="32" t="s">
        <v>802</v>
      </c>
    </row>
    <row r="117" customFormat="false" ht="18" hidden="false" customHeight="true" outlineLevel="0" collapsed="false">
      <c r="A117" s="26" t="s">
        <v>14</v>
      </c>
      <c r="B117" s="27" t="s">
        <v>436</v>
      </c>
      <c r="C117" s="43" t="s">
        <v>492</v>
      </c>
      <c r="D117" s="43" t="s">
        <v>803</v>
      </c>
      <c r="E117" s="46" t="s">
        <v>804</v>
      </c>
      <c r="F117" s="42" t="s">
        <v>483</v>
      </c>
      <c r="G117" s="34" t="s">
        <v>489</v>
      </c>
      <c r="H117" s="34" t="s">
        <v>484</v>
      </c>
      <c r="I117" s="34" t="s">
        <v>485</v>
      </c>
      <c r="J117" s="34" t="s">
        <v>485</v>
      </c>
    </row>
    <row r="118" customFormat="false" ht="18" hidden="false" customHeight="true" outlineLevel="0" collapsed="false">
      <c r="A118" s="26" t="s">
        <v>23</v>
      </c>
      <c r="B118" s="27" t="s">
        <v>444</v>
      </c>
      <c r="C118" s="43" t="s">
        <v>492</v>
      </c>
      <c r="D118" s="43" t="s">
        <v>492</v>
      </c>
      <c r="E118" s="43" t="s">
        <v>805</v>
      </c>
      <c r="F118" s="46" t="s">
        <v>488</v>
      </c>
      <c r="G118" s="42" t="s">
        <v>806</v>
      </c>
      <c r="H118" s="34" t="s">
        <v>489</v>
      </c>
      <c r="I118" s="34" t="s">
        <v>484</v>
      </c>
      <c r="J118" s="34" t="s">
        <v>485</v>
      </c>
    </row>
    <row r="119" customFormat="false" ht="18" hidden="false" customHeight="true" outlineLevel="0" collapsed="false">
      <c r="A119" s="26" t="s">
        <v>451</v>
      </c>
      <c r="B119" s="27" t="s">
        <v>33</v>
      </c>
      <c r="C119" s="43" t="s">
        <v>492</v>
      </c>
      <c r="D119" s="43" t="s">
        <v>492</v>
      </c>
      <c r="E119" s="43" t="s">
        <v>492</v>
      </c>
      <c r="F119" s="43" t="s">
        <v>492</v>
      </c>
      <c r="G119" s="43" t="s">
        <v>492</v>
      </c>
      <c r="H119" s="43" t="s">
        <v>493</v>
      </c>
      <c r="I119" s="46" t="s">
        <v>494</v>
      </c>
      <c r="J119" s="34" t="s">
        <v>495</v>
      </c>
    </row>
    <row r="120" customFormat="false" ht="18" hidden="false" customHeight="true" outlineLevel="0" collapsed="false">
      <c r="A120" s="26" t="s">
        <v>457</v>
      </c>
      <c r="B120" s="27" t="s">
        <v>458</v>
      </c>
      <c r="C120" s="43" t="s">
        <v>492</v>
      </c>
      <c r="D120" s="43" t="s">
        <v>492</v>
      </c>
      <c r="E120" s="43" t="s">
        <v>492</v>
      </c>
      <c r="F120" s="43" t="s">
        <v>492</v>
      </c>
      <c r="G120" s="43" t="s">
        <v>492</v>
      </c>
      <c r="H120" s="43" t="s">
        <v>492</v>
      </c>
      <c r="I120" s="43" t="s">
        <v>498</v>
      </c>
      <c r="J120" s="42" t="s">
        <v>499</v>
      </c>
    </row>
    <row r="121" customFormat="false" ht="18" hidden="false" customHeight="true" outlineLevel="0" collapsed="false">
      <c r="A121" s="26" t="s">
        <v>465</v>
      </c>
      <c r="B121" s="27" t="s">
        <v>50</v>
      </c>
      <c r="C121" s="43" t="s">
        <v>492</v>
      </c>
      <c r="D121" s="43" t="s">
        <v>492</v>
      </c>
      <c r="E121" s="43" t="s">
        <v>492</v>
      </c>
      <c r="F121" s="43" t="s">
        <v>492</v>
      </c>
      <c r="G121" s="43" t="s">
        <v>492</v>
      </c>
      <c r="H121" s="43" t="s">
        <v>492</v>
      </c>
      <c r="I121" s="43" t="s">
        <v>492</v>
      </c>
      <c r="J121" s="43" t="s">
        <v>492</v>
      </c>
    </row>
    <row r="122" customFormat="false" ht="6" hidden="false" customHeight="true" outlineLevel="0" collapsed="false">
      <c r="A122" s="4"/>
      <c r="B122" s="5"/>
      <c r="C122" s="5"/>
      <c r="D122" s="5"/>
      <c r="E122" s="5"/>
      <c r="F122" s="5"/>
      <c r="G122" s="5"/>
      <c r="H122" s="5"/>
      <c r="I122" s="5"/>
      <c r="J122" s="5"/>
    </row>
    <row r="123" customFormat="false" ht="27" hidden="false" customHeight="true" outlineLevel="0" collapsed="false">
      <c r="A123" s="44" t="s">
        <v>807</v>
      </c>
      <c r="B123" s="44"/>
      <c r="C123" s="44"/>
      <c r="D123" s="44"/>
      <c r="E123" s="44"/>
      <c r="F123" s="44"/>
      <c r="G123" s="44"/>
      <c r="H123" s="44"/>
      <c r="I123" s="44"/>
      <c r="J123" s="44"/>
    </row>
    <row r="124" customFormat="false" ht="6" hidden="false" customHeight="true" outlineLevel="0" collapsed="false">
      <c r="A124" s="4"/>
      <c r="B124" s="5"/>
      <c r="C124" s="5"/>
      <c r="D124" s="5"/>
      <c r="E124" s="5"/>
      <c r="F124" s="5"/>
      <c r="G124" s="5"/>
      <c r="H124" s="5"/>
      <c r="I124" s="5"/>
      <c r="J124" s="5"/>
    </row>
    <row r="125" customFormat="false" ht="24" hidden="false" customHeight="true" outlineLevel="0" collapsed="false">
      <c r="A125" s="6" t="s">
        <v>808</v>
      </c>
      <c r="B125" s="6"/>
      <c r="C125" s="6"/>
      <c r="D125" s="6"/>
      <c r="E125" s="6"/>
      <c r="F125" s="6"/>
      <c r="G125" s="6"/>
      <c r="H125" s="6"/>
      <c r="I125" s="6"/>
      <c r="J125" s="6"/>
    </row>
    <row r="126" customFormat="false" ht="26.25" hidden="false" customHeight="true" outlineLevel="0" collapsed="false">
      <c r="A126" s="30" t="s">
        <v>809</v>
      </c>
      <c r="B126" s="30"/>
      <c r="C126" s="30"/>
      <c r="D126" s="30"/>
      <c r="E126" s="30"/>
      <c r="F126" s="30"/>
      <c r="G126" s="30"/>
      <c r="H126" s="30"/>
      <c r="I126" s="30"/>
      <c r="J126" s="30"/>
    </row>
    <row r="127" customFormat="false" ht="23.25" hidden="false" customHeight="true" outlineLevel="0" collapsed="false">
      <c r="A127" s="31" t="s">
        <v>810</v>
      </c>
      <c r="B127" s="32" t="s">
        <v>811</v>
      </c>
      <c r="C127" s="32" t="s">
        <v>812</v>
      </c>
      <c r="D127" s="32" t="s">
        <v>813</v>
      </c>
      <c r="E127" s="32" t="s">
        <v>814</v>
      </c>
      <c r="F127" s="32" t="s">
        <v>815</v>
      </c>
      <c r="G127" s="32" t="s">
        <v>816</v>
      </c>
      <c r="H127" s="32" t="s">
        <v>817</v>
      </c>
      <c r="I127" s="32" t="s">
        <v>818</v>
      </c>
      <c r="J127" s="32" t="s">
        <v>819</v>
      </c>
    </row>
    <row r="128" customFormat="false" ht="18" hidden="false" customHeight="true" outlineLevel="0" collapsed="false">
      <c r="A128" s="26" t="s">
        <v>820</v>
      </c>
      <c r="B128" s="27" t="s">
        <v>14</v>
      </c>
      <c r="C128" s="27" t="s">
        <v>451</v>
      </c>
      <c r="D128" s="27" t="s">
        <v>821</v>
      </c>
      <c r="E128" s="27" t="s">
        <v>822</v>
      </c>
      <c r="F128" s="27" t="s">
        <v>710</v>
      </c>
      <c r="G128" s="27" t="s">
        <v>722</v>
      </c>
      <c r="H128" s="27" t="s">
        <v>711</v>
      </c>
      <c r="I128" s="27" t="s">
        <v>723</v>
      </c>
      <c r="J128" s="36" t="s">
        <v>451</v>
      </c>
    </row>
    <row r="129" customFormat="false" ht="18" hidden="false" customHeight="true" outlineLevel="0" collapsed="false">
      <c r="A129" s="26" t="s">
        <v>823</v>
      </c>
      <c r="B129" s="27" t="s">
        <v>23</v>
      </c>
      <c r="C129" s="27" t="s">
        <v>451</v>
      </c>
      <c r="D129" s="27" t="s">
        <v>56</v>
      </c>
      <c r="E129" s="27" t="s">
        <v>822</v>
      </c>
      <c r="F129" s="27" t="s">
        <v>716</v>
      </c>
      <c r="G129" s="27" t="s">
        <v>722</v>
      </c>
      <c r="H129" s="27" t="s">
        <v>717</v>
      </c>
      <c r="I129" s="27" t="s">
        <v>723</v>
      </c>
      <c r="J129" s="36" t="s">
        <v>451</v>
      </c>
    </row>
    <row r="130" customFormat="false" ht="18" hidden="false" customHeight="true" outlineLevel="0" collapsed="false">
      <c r="A130" s="26" t="s">
        <v>824</v>
      </c>
      <c r="B130" s="27" t="s">
        <v>14</v>
      </c>
      <c r="C130" s="27" t="s">
        <v>465</v>
      </c>
      <c r="D130" s="27" t="s">
        <v>821</v>
      </c>
      <c r="E130" s="27" t="s">
        <v>825</v>
      </c>
      <c r="F130" s="27" t="s">
        <v>710</v>
      </c>
      <c r="G130" s="27" t="s">
        <v>732</v>
      </c>
      <c r="H130" s="27" t="s">
        <v>711</v>
      </c>
      <c r="I130" s="27" t="s">
        <v>733</v>
      </c>
      <c r="J130" s="36" t="s">
        <v>14</v>
      </c>
    </row>
    <row r="131" customFormat="false" ht="6" hidden="false" customHeight="true" outlineLevel="0" collapsed="false">
      <c r="A131" s="4"/>
      <c r="B131" s="5"/>
      <c r="C131" s="5"/>
      <c r="D131" s="5"/>
      <c r="E131" s="5"/>
      <c r="F131" s="5"/>
      <c r="G131" s="5"/>
      <c r="H131" s="5"/>
      <c r="I131" s="5"/>
      <c r="J131" s="5"/>
    </row>
    <row r="132" customFormat="false" ht="36" hidden="false" customHeight="true" outlineLevel="0" collapsed="false">
      <c r="A132" s="44" t="s">
        <v>826</v>
      </c>
      <c r="B132" s="44"/>
      <c r="C132" s="44"/>
      <c r="D132" s="44"/>
      <c r="E132" s="44"/>
      <c r="F132" s="44"/>
      <c r="G132" s="44"/>
      <c r="H132" s="44"/>
      <c r="I132" s="44"/>
      <c r="J132" s="44"/>
    </row>
    <row r="134" customFormat="false" ht="15" hidden="false" customHeight="false" outlineLevel="0" collapsed="false">
      <c r="A134" s="50" t="s">
        <v>827</v>
      </c>
      <c r="B134" s="50"/>
      <c r="C134" s="50"/>
      <c r="D134" s="50"/>
      <c r="E134" s="50"/>
      <c r="F134" s="50"/>
      <c r="G134" s="50"/>
      <c r="H134" s="50"/>
      <c r="I134" s="50"/>
      <c r="J134" s="50"/>
    </row>
    <row r="135" customFormat="false" ht="26.85" hidden="false" customHeight="false" outlineLevel="0" collapsed="false">
      <c r="A135" s="51" t="s">
        <v>5</v>
      </c>
      <c r="B135" s="51" t="s">
        <v>431</v>
      </c>
      <c r="C135" s="51" t="s">
        <v>432</v>
      </c>
      <c r="D135" s="51" t="s">
        <v>7</v>
      </c>
      <c r="E135" s="51" t="s">
        <v>8</v>
      </c>
      <c r="F135" s="51" t="s">
        <v>9</v>
      </c>
      <c r="G135" s="51" t="s">
        <v>10</v>
      </c>
      <c r="H135" s="51" t="s">
        <v>433</v>
      </c>
      <c r="I135" s="51" t="s">
        <v>828</v>
      </c>
      <c r="J135" s="51" t="s">
        <v>829</v>
      </c>
    </row>
    <row r="136" customFormat="false" ht="15" hidden="false" customHeight="false" outlineLevel="0" collapsed="false">
      <c r="A136" s="52" t="s">
        <v>830</v>
      </c>
      <c r="B136" s="52" t="s">
        <v>831</v>
      </c>
      <c r="C136" s="52" t="s">
        <v>832</v>
      </c>
      <c r="D136" s="52" t="s">
        <v>833</v>
      </c>
      <c r="E136" s="52" t="n">
        <v>108</v>
      </c>
      <c r="F136" s="52" t="n">
        <v>0.4</v>
      </c>
      <c r="G136" s="52" t="s">
        <v>834</v>
      </c>
      <c r="H136" s="52" t="s">
        <v>835</v>
      </c>
      <c r="I136" s="52" t="s">
        <v>836</v>
      </c>
      <c r="J136" s="52" t="s">
        <v>837</v>
      </c>
    </row>
    <row r="137" customFormat="false" ht="15" hidden="false" customHeight="false" outlineLevel="0" collapsed="false">
      <c r="A137" s="53" t="s">
        <v>838</v>
      </c>
      <c r="B137" s="53" t="s">
        <v>839</v>
      </c>
      <c r="C137" s="53" t="s">
        <v>804</v>
      </c>
      <c r="D137" s="53" t="s">
        <v>840</v>
      </c>
      <c r="E137" s="53" t="n">
        <v>290</v>
      </c>
      <c r="F137" s="53" t="n">
        <v>1.2</v>
      </c>
      <c r="G137" s="53" t="s">
        <v>841</v>
      </c>
      <c r="H137" s="53" t="s">
        <v>842</v>
      </c>
      <c r="I137" s="53" t="s">
        <v>843</v>
      </c>
      <c r="J137" s="53" t="s">
        <v>844</v>
      </c>
    </row>
    <row r="138" customFormat="false" ht="15" hidden="false" customHeight="false" outlineLevel="0" collapsed="false">
      <c r="A138" s="54" t="s">
        <v>845</v>
      </c>
      <c r="B138" s="54" t="s">
        <v>846</v>
      </c>
      <c r="C138" s="54" t="s">
        <v>847</v>
      </c>
      <c r="D138" s="54" t="s">
        <v>848</v>
      </c>
      <c r="E138" s="54" t="n">
        <v>733</v>
      </c>
      <c r="F138" s="54" t="n">
        <v>2.9</v>
      </c>
      <c r="G138" s="54" t="s">
        <v>849</v>
      </c>
      <c r="H138" s="54" t="s">
        <v>850</v>
      </c>
      <c r="I138" s="54" t="s">
        <v>851</v>
      </c>
      <c r="J138" s="54" t="s">
        <v>852</v>
      </c>
    </row>
    <row r="139" customFormat="false" ht="15" hidden="false" customHeight="false" outlineLevel="0" collapsed="false">
      <c r="A139" s="54" t="s">
        <v>853</v>
      </c>
      <c r="B139" s="54" t="s">
        <v>854</v>
      </c>
      <c r="C139" s="54" t="s">
        <v>855</v>
      </c>
      <c r="D139" s="54" t="s">
        <v>856</v>
      </c>
      <c r="E139" s="54" t="n">
        <v>31</v>
      </c>
      <c r="F139" s="54" t="n">
        <v>0.1</v>
      </c>
      <c r="G139" s="54" t="s">
        <v>857</v>
      </c>
      <c r="H139" s="54" t="s">
        <v>858</v>
      </c>
      <c r="I139" s="54" t="s">
        <v>859</v>
      </c>
      <c r="J139" s="54" t="s">
        <v>860</v>
      </c>
    </row>
    <row r="140" customFormat="false" ht="15" hidden="false" customHeight="false" outlineLevel="0" collapsed="false">
      <c r="A140" s="54" t="s">
        <v>861</v>
      </c>
      <c r="B140" s="54" t="s">
        <v>598</v>
      </c>
      <c r="C140" s="54" t="s">
        <v>862</v>
      </c>
      <c r="D140" s="54" t="s">
        <v>863</v>
      </c>
      <c r="E140" s="54" t="n">
        <v>33</v>
      </c>
      <c r="F140" s="54" t="n">
        <v>0.1</v>
      </c>
      <c r="G140" s="54" t="s">
        <v>864</v>
      </c>
      <c r="H140" s="54" t="s">
        <v>865</v>
      </c>
      <c r="I140" s="54" t="s">
        <v>859</v>
      </c>
      <c r="J140" s="54" t="s">
        <v>866</v>
      </c>
    </row>
    <row r="141" customFormat="false" ht="15" hidden="false" customHeight="false" outlineLevel="0" collapsed="false">
      <c r="A141" s="55" t="s">
        <v>867</v>
      </c>
      <c r="B141" s="55"/>
      <c r="C141" s="55"/>
      <c r="D141" s="55"/>
      <c r="E141" s="55"/>
      <c r="F141" s="55"/>
      <c r="G141" s="55"/>
      <c r="H141" s="55"/>
      <c r="I141" s="55"/>
      <c r="J141" s="55"/>
    </row>
    <row r="143" customFormat="false" ht="15" hidden="false" customHeight="false" outlineLevel="0" collapsed="false">
      <c r="A143" s="56" t="s">
        <v>868</v>
      </c>
      <c r="B143" s="56"/>
      <c r="C143" s="56"/>
      <c r="D143" s="56"/>
      <c r="E143" s="56"/>
      <c r="F143" s="56"/>
      <c r="G143" s="56"/>
      <c r="H143" s="56"/>
      <c r="I143" s="56"/>
      <c r="J143" s="56"/>
    </row>
    <row r="144" customFormat="false" ht="15" hidden="false" customHeight="false" outlineLevel="0" collapsed="false">
      <c r="A144" s="51" t="s">
        <v>869</v>
      </c>
      <c r="B144" s="51" t="s">
        <v>98</v>
      </c>
      <c r="C144" s="51" t="s">
        <v>870</v>
      </c>
      <c r="D144" s="51" t="s">
        <v>871</v>
      </c>
      <c r="E144" s="51" t="s">
        <v>512</v>
      </c>
    </row>
    <row r="145" customFormat="false" ht="15" hidden="false" customHeight="false" outlineLevel="0" collapsed="false">
      <c r="A145" s="54" t="s">
        <v>465</v>
      </c>
      <c r="B145" s="54" t="n">
        <v>232.8</v>
      </c>
      <c r="C145" s="54" t="n">
        <v>232.8</v>
      </c>
      <c r="D145" s="54" t="s">
        <v>872</v>
      </c>
      <c r="E145" s="54" t="s">
        <v>873</v>
      </c>
    </row>
    <row r="146" customFormat="false" ht="15" hidden="false" customHeight="false" outlineLevel="0" collapsed="false">
      <c r="A146" s="54" t="s">
        <v>874</v>
      </c>
      <c r="B146" s="54" t="n">
        <v>108.2</v>
      </c>
      <c r="C146" s="54" t="s">
        <v>381</v>
      </c>
      <c r="D146" s="54" t="s">
        <v>875</v>
      </c>
      <c r="E146" s="54" t="s">
        <v>873</v>
      </c>
    </row>
    <row r="147" customFormat="false" ht="15" hidden="false" customHeight="false" outlineLevel="0" collapsed="false">
      <c r="A147" s="54" t="s">
        <v>876</v>
      </c>
      <c r="B147" s="54" t="n">
        <v>111.1</v>
      </c>
      <c r="C147" s="54" t="n">
        <v>74.1</v>
      </c>
      <c r="D147" s="54" t="s">
        <v>877</v>
      </c>
      <c r="E147" s="54" t="s">
        <v>873</v>
      </c>
    </row>
    <row r="148" customFormat="false" ht="15" hidden="false" customHeight="false" outlineLevel="0" collapsed="false">
      <c r="A148" s="54" t="s">
        <v>878</v>
      </c>
      <c r="B148" s="54" t="n">
        <v>103.5</v>
      </c>
      <c r="C148" s="54" t="n">
        <v>75.5</v>
      </c>
      <c r="D148" s="54" t="s">
        <v>879</v>
      </c>
      <c r="E148" s="54" t="s">
        <v>873</v>
      </c>
    </row>
    <row r="149" customFormat="false" ht="15" hidden="false" customHeight="false" outlineLevel="0" collapsed="false">
      <c r="A149" s="57" t="s">
        <v>880</v>
      </c>
      <c r="B149" s="57" t="n">
        <v>56.7</v>
      </c>
      <c r="C149" s="57" t="n">
        <v>39</v>
      </c>
      <c r="D149" s="57" t="s">
        <v>881</v>
      </c>
      <c r="E149" s="57" t="s">
        <v>873</v>
      </c>
    </row>
  </sheetData>
  <mergeCells count="27">
    <mergeCell ref="A2:J2"/>
    <mergeCell ref="A4:J4"/>
    <mergeCell ref="A11:J11"/>
    <mergeCell ref="A13:J13"/>
    <mergeCell ref="A14:J14"/>
    <mergeCell ref="A15:J15"/>
    <mergeCell ref="A23:J23"/>
    <mergeCell ref="A25:J25"/>
    <mergeCell ref="A26:J26"/>
    <mergeCell ref="A69:J69"/>
    <mergeCell ref="A86:J86"/>
    <mergeCell ref="A87:J87"/>
    <mergeCell ref="A88:J88"/>
    <mergeCell ref="A89:J89"/>
    <mergeCell ref="A91:J91"/>
    <mergeCell ref="A92:J92"/>
    <mergeCell ref="A101:J101"/>
    <mergeCell ref="A102:J102"/>
    <mergeCell ref="A114:J114"/>
    <mergeCell ref="A115:J115"/>
    <mergeCell ref="A123:J123"/>
    <mergeCell ref="A125:J125"/>
    <mergeCell ref="A126:J126"/>
    <mergeCell ref="A132:J132"/>
    <mergeCell ref="A134:J134"/>
    <mergeCell ref="A141:J141"/>
    <mergeCell ref="A143:J143"/>
  </mergeCells>
  <printOptions headings="false" gridLines="false" gridLinesSet="true" horizontalCentered="false" verticalCentered="false"/>
  <pageMargins left="0.4" right="0.4" top="0.5" bottom="0.5" header="0.25" footer="0.25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&amp;CWillis Holdings</oddHeader>
    <oddFooter>&amp;CCONFIDENTIAL  | 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472C4"/>
    <pageSetUpPr fitToPage="false"/>
  </sheetPr>
  <dimension ref="A1:J7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24"/>
    <col collapsed="false" customWidth="true" hidden="false" outlineLevel="0" max="5" min="3" style="1" width="16"/>
    <col collapsed="false" customWidth="true" hidden="false" outlineLevel="0" max="7" min="6" style="1" width="14"/>
    <col collapsed="false" customWidth="true" hidden="false" outlineLevel="0" max="9" min="8" style="1" width="10"/>
    <col collapsed="false" customWidth="true" hidden="false" outlineLevel="0" max="10" min="10" style="1" width="14"/>
  </cols>
  <sheetData>
    <row r="1" customFormat="false" ht="24" hidden="false" customHeight="true" outlineLevel="0" collapsed="false">
      <c r="A1" s="29" t="s">
        <v>882</v>
      </c>
    </row>
    <row r="2" customFormat="false" ht="21.75" hidden="false" customHeight="true" outlineLevel="0" collapsed="false">
      <c r="A2" s="23" t="s">
        <v>883</v>
      </c>
      <c r="B2" s="23"/>
      <c r="C2" s="23"/>
      <c r="D2" s="23"/>
      <c r="E2" s="23"/>
      <c r="F2" s="23"/>
      <c r="G2" s="23"/>
      <c r="H2" s="23"/>
      <c r="I2" s="23"/>
      <c r="J2" s="23"/>
    </row>
    <row r="3" customFormat="false" ht="6" hidden="false" customHeight="true" outlineLevel="0" collapsed="false">
      <c r="A3" s="4"/>
      <c r="B3" s="5"/>
      <c r="C3" s="5"/>
      <c r="D3" s="5"/>
      <c r="E3" s="5"/>
      <c r="F3" s="5"/>
      <c r="G3" s="5"/>
      <c r="H3" s="5"/>
      <c r="I3" s="5"/>
      <c r="J3" s="5"/>
    </row>
    <row r="4" customFormat="false" ht="24" hidden="false" customHeight="true" outlineLevel="0" collapsed="false">
      <c r="A4" s="6" t="s">
        <v>884</v>
      </c>
      <c r="B4" s="6"/>
      <c r="C4" s="6"/>
      <c r="D4" s="6"/>
      <c r="E4" s="6"/>
      <c r="F4" s="6"/>
      <c r="G4" s="6"/>
      <c r="H4" s="6"/>
      <c r="I4" s="6"/>
      <c r="J4" s="6"/>
    </row>
    <row r="5" customFormat="false" ht="23.25" hidden="false" customHeight="true" outlineLevel="0" collapsed="false">
      <c r="A5" s="31" t="s">
        <v>388</v>
      </c>
      <c r="B5" s="32" t="s">
        <v>885</v>
      </c>
      <c r="C5" s="32" t="s">
        <v>886</v>
      </c>
      <c r="D5" s="32" t="s">
        <v>887</v>
      </c>
      <c r="E5" s="32" t="s">
        <v>888</v>
      </c>
      <c r="F5" s="32" t="s">
        <v>889</v>
      </c>
      <c r="G5" s="32" t="s">
        <v>890</v>
      </c>
      <c r="H5" s="32" t="s">
        <v>156</v>
      </c>
      <c r="I5" s="32" t="s">
        <v>891</v>
      </c>
      <c r="J5" s="32" t="s">
        <v>242</v>
      </c>
    </row>
    <row r="6" customFormat="false" ht="18" hidden="false" customHeight="true" outlineLevel="0" collapsed="false">
      <c r="A6" s="33" t="n">
        <v>1</v>
      </c>
      <c r="B6" s="34" t="s">
        <v>892</v>
      </c>
      <c r="C6" s="34" t="s">
        <v>893</v>
      </c>
      <c r="D6" s="34" t="s">
        <v>894</v>
      </c>
      <c r="E6" s="34" t="s">
        <v>895</v>
      </c>
      <c r="F6" s="34" t="s">
        <v>896</v>
      </c>
      <c r="G6" s="34" t="s">
        <v>897</v>
      </c>
      <c r="H6" s="34" t="s">
        <v>898</v>
      </c>
      <c r="I6" s="34" t="s">
        <v>899</v>
      </c>
      <c r="J6" s="34" t="s">
        <v>900</v>
      </c>
    </row>
    <row r="7" customFormat="false" ht="18" hidden="false" customHeight="true" outlineLevel="0" collapsed="false">
      <c r="A7" s="33" t="n">
        <v>2</v>
      </c>
      <c r="B7" s="34" t="s">
        <v>901</v>
      </c>
      <c r="C7" s="34" t="s">
        <v>902</v>
      </c>
      <c r="D7" s="34" t="s">
        <v>894</v>
      </c>
      <c r="E7" s="34" t="s">
        <v>903</v>
      </c>
      <c r="F7" s="34" t="s">
        <v>904</v>
      </c>
      <c r="G7" s="34" t="s">
        <v>905</v>
      </c>
      <c r="H7" s="34" t="s">
        <v>906</v>
      </c>
      <c r="I7" s="34" t="s">
        <v>907</v>
      </c>
      <c r="J7" s="34" t="s">
        <v>908</v>
      </c>
    </row>
    <row r="8" customFormat="false" ht="18" hidden="false" customHeight="true" outlineLevel="0" collapsed="false">
      <c r="A8" s="33" t="n">
        <v>3</v>
      </c>
      <c r="B8" s="34" t="s">
        <v>909</v>
      </c>
      <c r="C8" s="34" t="s">
        <v>910</v>
      </c>
      <c r="D8" s="34" t="s">
        <v>894</v>
      </c>
      <c r="E8" s="34" t="s">
        <v>903</v>
      </c>
      <c r="F8" s="34" t="s">
        <v>911</v>
      </c>
      <c r="G8" s="34" t="s">
        <v>912</v>
      </c>
      <c r="H8" s="34" t="s">
        <v>898</v>
      </c>
      <c r="I8" s="34" t="s">
        <v>913</v>
      </c>
      <c r="J8" s="34" t="s">
        <v>914</v>
      </c>
    </row>
    <row r="9" customFormat="false" ht="18" hidden="false" customHeight="true" outlineLevel="0" collapsed="false">
      <c r="A9" s="33" t="n">
        <v>4</v>
      </c>
      <c r="B9" s="34" t="s">
        <v>915</v>
      </c>
      <c r="C9" s="34" t="s">
        <v>916</v>
      </c>
      <c r="D9" s="34" t="s">
        <v>917</v>
      </c>
      <c r="E9" s="34" t="s">
        <v>918</v>
      </c>
      <c r="F9" s="34" t="s">
        <v>919</v>
      </c>
      <c r="G9" s="34" t="s">
        <v>920</v>
      </c>
      <c r="H9" s="34" t="s">
        <v>898</v>
      </c>
      <c r="I9" s="34" t="s">
        <v>921</v>
      </c>
      <c r="J9" s="34" t="s">
        <v>922</v>
      </c>
    </row>
    <row r="10" customFormat="false" ht="18" hidden="false" customHeight="true" outlineLevel="0" collapsed="false">
      <c r="A10" s="41" t="n">
        <v>5</v>
      </c>
      <c r="B10" s="42" t="s">
        <v>923</v>
      </c>
      <c r="C10" s="42" t="s">
        <v>924</v>
      </c>
      <c r="D10" s="42" t="s">
        <v>925</v>
      </c>
      <c r="E10" s="42" t="s">
        <v>903</v>
      </c>
      <c r="F10" s="42" t="s">
        <v>926</v>
      </c>
      <c r="G10" s="42" t="s">
        <v>927</v>
      </c>
      <c r="H10" s="42" t="s">
        <v>928</v>
      </c>
      <c r="I10" s="42" t="s">
        <v>929</v>
      </c>
      <c r="J10" s="42" t="s">
        <v>930</v>
      </c>
    </row>
    <row r="11" customFormat="false" ht="18" hidden="false" customHeight="true" outlineLevel="0" collapsed="false">
      <c r="A11" s="33" t="n">
        <v>6</v>
      </c>
      <c r="B11" s="34" t="s">
        <v>931</v>
      </c>
      <c r="C11" s="34" t="s">
        <v>932</v>
      </c>
      <c r="D11" s="34" t="s">
        <v>917</v>
      </c>
      <c r="E11" s="34" t="s">
        <v>918</v>
      </c>
      <c r="F11" s="34" t="s">
        <v>926</v>
      </c>
      <c r="G11" s="34" t="s">
        <v>933</v>
      </c>
      <c r="H11" s="34" t="s">
        <v>898</v>
      </c>
      <c r="I11" s="34" t="s">
        <v>929</v>
      </c>
      <c r="J11" s="34" t="s">
        <v>934</v>
      </c>
    </row>
    <row r="12" customFormat="false" ht="18" hidden="false" customHeight="true" outlineLevel="0" collapsed="false">
      <c r="A12" s="41" t="n">
        <v>7</v>
      </c>
      <c r="B12" s="42" t="s">
        <v>935</v>
      </c>
      <c r="C12" s="42" t="s">
        <v>936</v>
      </c>
      <c r="D12" s="42" t="s">
        <v>937</v>
      </c>
      <c r="E12" s="42" t="s">
        <v>918</v>
      </c>
      <c r="F12" s="42" t="s">
        <v>936</v>
      </c>
      <c r="G12" s="42" t="s">
        <v>936</v>
      </c>
      <c r="H12" s="42" t="s">
        <v>938</v>
      </c>
      <c r="I12" s="42" t="s">
        <v>939</v>
      </c>
      <c r="J12" s="42" t="s">
        <v>403</v>
      </c>
    </row>
    <row r="13" customFormat="false" ht="18" hidden="false" customHeight="true" outlineLevel="0" collapsed="false">
      <c r="A13" s="58"/>
      <c r="B13" s="59" t="s">
        <v>940</v>
      </c>
      <c r="C13" s="60" t="s">
        <v>941</v>
      </c>
      <c r="D13" s="60"/>
      <c r="E13" s="60"/>
      <c r="F13" s="60" t="s">
        <v>942</v>
      </c>
      <c r="G13" s="60" t="s">
        <v>943</v>
      </c>
      <c r="H13" s="60"/>
      <c r="I13" s="60"/>
      <c r="J13" s="60"/>
    </row>
    <row r="14" customFormat="false" ht="21.75" hidden="false" customHeight="true" outlineLevel="0" collapsed="false">
      <c r="A14" s="44" t="s">
        <v>944</v>
      </c>
      <c r="B14" s="44"/>
      <c r="C14" s="44"/>
      <c r="D14" s="44"/>
      <c r="E14" s="44"/>
      <c r="F14" s="44"/>
      <c r="G14" s="44"/>
      <c r="H14" s="44"/>
      <c r="I14" s="44"/>
      <c r="J14" s="44"/>
    </row>
    <row r="15" customFormat="false" ht="6" hidden="false" customHeight="true" outlineLevel="0" collapsed="false">
      <c r="A15" s="4"/>
      <c r="B15" s="5"/>
      <c r="C15" s="5"/>
      <c r="D15" s="5"/>
      <c r="E15" s="5"/>
      <c r="F15" s="5"/>
      <c r="G15" s="5"/>
      <c r="H15" s="5"/>
      <c r="I15" s="5"/>
      <c r="J15" s="5"/>
    </row>
    <row r="16" customFormat="false" ht="24" hidden="false" customHeight="true" outlineLevel="0" collapsed="false">
      <c r="A16" s="6" t="s">
        <v>945</v>
      </c>
      <c r="B16" s="6"/>
      <c r="C16" s="6"/>
      <c r="D16" s="6"/>
      <c r="E16" s="6"/>
      <c r="F16" s="6"/>
      <c r="G16" s="6"/>
      <c r="H16" s="6"/>
      <c r="I16" s="6"/>
      <c r="J16" s="6"/>
    </row>
    <row r="17" customFormat="false" ht="24" hidden="false" customHeight="true" outlineLevel="0" collapsed="false">
      <c r="A17" s="61" t="s">
        <v>946</v>
      </c>
      <c r="B17" s="61"/>
      <c r="C17" s="61"/>
      <c r="D17" s="61"/>
      <c r="E17" s="61"/>
      <c r="F17" s="61"/>
      <c r="G17" s="61"/>
      <c r="H17" s="61"/>
      <c r="I17" s="61"/>
      <c r="J17" s="61"/>
    </row>
    <row r="18" customFormat="false" ht="38.25" hidden="false" customHeight="true" outlineLevel="0" collapsed="false">
      <c r="A18" s="30" t="s">
        <v>947</v>
      </c>
      <c r="B18" s="30"/>
      <c r="C18" s="30"/>
      <c r="D18" s="30"/>
      <c r="E18" s="30"/>
      <c r="F18" s="30"/>
      <c r="G18" s="30"/>
      <c r="H18" s="30"/>
      <c r="I18" s="30"/>
      <c r="J18" s="30"/>
    </row>
    <row r="19" customFormat="false" ht="18" hidden="false" customHeight="true" outlineLevel="0" collapsed="false">
      <c r="A19" s="31" t="s">
        <v>948</v>
      </c>
      <c r="B19" s="32" t="s">
        <v>949</v>
      </c>
      <c r="C19" s="32" t="s">
        <v>950</v>
      </c>
      <c r="D19" s="32" t="s">
        <v>85</v>
      </c>
      <c r="E19" s="32" t="s">
        <v>92</v>
      </c>
      <c r="F19" s="32" t="s">
        <v>951</v>
      </c>
      <c r="G19" s="32"/>
      <c r="H19" s="32"/>
      <c r="I19" s="32"/>
      <c r="J19" s="32"/>
    </row>
    <row r="20" customFormat="false" ht="23.25" hidden="false" customHeight="true" outlineLevel="0" collapsed="false">
      <c r="A20" s="33" t="s">
        <v>952</v>
      </c>
      <c r="B20" s="34" t="s">
        <v>953</v>
      </c>
      <c r="C20" s="34" t="s">
        <v>954</v>
      </c>
      <c r="D20" s="34" t="s">
        <v>955</v>
      </c>
      <c r="E20" s="34" t="s">
        <v>381</v>
      </c>
      <c r="F20" s="34" t="s">
        <v>956</v>
      </c>
      <c r="G20" s="27"/>
      <c r="H20" s="27"/>
      <c r="I20" s="27"/>
      <c r="J20" s="27"/>
    </row>
    <row r="21" customFormat="false" ht="23.25" hidden="false" customHeight="true" outlineLevel="0" collapsed="false">
      <c r="A21" s="33" t="s">
        <v>952</v>
      </c>
      <c r="B21" s="34" t="s">
        <v>957</v>
      </c>
      <c r="C21" s="34" t="s">
        <v>958</v>
      </c>
      <c r="D21" s="34" t="s">
        <v>959</v>
      </c>
      <c r="E21" s="34" t="s">
        <v>381</v>
      </c>
      <c r="F21" s="34" t="s">
        <v>960</v>
      </c>
      <c r="G21" s="27"/>
      <c r="H21" s="27"/>
      <c r="I21" s="27"/>
      <c r="J21" s="27"/>
    </row>
    <row r="22" customFormat="false" ht="23.25" hidden="false" customHeight="true" outlineLevel="0" collapsed="false">
      <c r="A22" s="33" t="s">
        <v>952</v>
      </c>
      <c r="B22" s="34" t="s">
        <v>961</v>
      </c>
      <c r="C22" s="34" t="s">
        <v>962</v>
      </c>
      <c r="D22" s="34" t="s">
        <v>381</v>
      </c>
      <c r="E22" s="34" t="s">
        <v>381</v>
      </c>
      <c r="F22" s="34" t="s">
        <v>963</v>
      </c>
      <c r="G22" s="27"/>
      <c r="H22" s="27"/>
      <c r="I22" s="27"/>
      <c r="J22" s="27"/>
    </row>
    <row r="23" customFormat="false" ht="18" hidden="false" customHeight="true" outlineLevel="0" collapsed="false">
      <c r="A23" s="62" t="s">
        <v>964</v>
      </c>
      <c r="B23" s="43" t="s">
        <v>965</v>
      </c>
      <c r="C23" s="43" t="s">
        <v>966</v>
      </c>
      <c r="D23" s="43" t="s">
        <v>381</v>
      </c>
      <c r="E23" s="43" t="s">
        <v>381</v>
      </c>
      <c r="F23" s="43" t="s">
        <v>967</v>
      </c>
      <c r="G23" s="27"/>
      <c r="H23" s="27"/>
      <c r="I23" s="27"/>
      <c r="J23" s="27"/>
    </row>
    <row r="24" customFormat="false" ht="23.25" hidden="false" customHeight="true" outlineLevel="0" collapsed="false">
      <c r="A24" s="33" t="s">
        <v>964</v>
      </c>
      <c r="B24" s="34" t="s">
        <v>968</v>
      </c>
      <c r="C24" s="34" t="s">
        <v>969</v>
      </c>
      <c r="D24" s="34" t="s">
        <v>970</v>
      </c>
      <c r="E24" s="34" t="s">
        <v>971</v>
      </c>
      <c r="F24" s="34" t="s">
        <v>972</v>
      </c>
      <c r="G24" s="27"/>
      <c r="H24" s="27"/>
      <c r="I24" s="27"/>
      <c r="J24" s="27"/>
    </row>
    <row r="25" customFormat="false" ht="23.25" hidden="false" customHeight="true" outlineLevel="0" collapsed="false">
      <c r="A25" s="33" t="s">
        <v>964</v>
      </c>
      <c r="B25" s="34" t="s">
        <v>973</v>
      </c>
      <c r="C25" s="34" t="s">
        <v>974</v>
      </c>
      <c r="D25" s="34" t="s">
        <v>975</v>
      </c>
      <c r="E25" s="34" t="s">
        <v>381</v>
      </c>
      <c r="F25" s="34" t="s">
        <v>976</v>
      </c>
      <c r="G25" s="27"/>
      <c r="H25" s="27"/>
      <c r="I25" s="27"/>
      <c r="J25" s="27"/>
    </row>
    <row r="26" customFormat="false" ht="6" hidden="false" customHeight="true" outlineLevel="0" collapsed="false">
      <c r="A26" s="4"/>
      <c r="B26" s="5"/>
      <c r="C26" s="5"/>
      <c r="D26" s="5"/>
      <c r="E26" s="5"/>
      <c r="F26" s="5"/>
      <c r="G26" s="5"/>
      <c r="H26" s="5"/>
      <c r="I26" s="5"/>
      <c r="J26" s="5"/>
    </row>
    <row r="27" customFormat="false" ht="24" hidden="false" customHeight="true" outlineLevel="0" collapsed="false">
      <c r="A27" s="61" t="s">
        <v>977</v>
      </c>
      <c r="B27" s="61"/>
      <c r="C27" s="61"/>
      <c r="D27" s="61"/>
      <c r="E27" s="61"/>
      <c r="F27" s="61"/>
      <c r="G27" s="61"/>
      <c r="H27" s="61"/>
      <c r="I27" s="61"/>
      <c r="J27" s="61"/>
    </row>
    <row r="28" customFormat="false" ht="35.25" hidden="false" customHeight="true" outlineLevel="0" collapsed="false">
      <c r="A28" s="30" t="s">
        <v>978</v>
      </c>
      <c r="B28" s="30"/>
      <c r="C28" s="30"/>
      <c r="D28" s="30"/>
      <c r="E28" s="30"/>
      <c r="F28" s="30"/>
      <c r="G28" s="30"/>
      <c r="H28" s="30"/>
      <c r="I28" s="30"/>
      <c r="J28" s="30"/>
    </row>
    <row r="29" customFormat="false" ht="23.25" hidden="false" customHeight="true" outlineLevel="0" collapsed="false">
      <c r="A29" s="31" t="s">
        <v>105</v>
      </c>
      <c r="B29" s="32" t="s">
        <v>979</v>
      </c>
      <c r="C29" s="32" t="s">
        <v>951</v>
      </c>
      <c r="D29" s="32" t="s">
        <v>980</v>
      </c>
      <c r="E29" s="32" t="s">
        <v>981</v>
      </c>
      <c r="F29" s="32" t="s">
        <v>982</v>
      </c>
      <c r="G29" s="32"/>
      <c r="H29" s="32"/>
      <c r="I29" s="32"/>
      <c r="J29" s="32"/>
    </row>
    <row r="30" customFormat="false" ht="23.25" hidden="false" customHeight="true" outlineLevel="0" collapsed="false">
      <c r="A30" s="33" t="s">
        <v>114</v>
      </c>
      <c r="B30" s="34" t="s">
        <v>983</v>
      </c>
      <c r="C30" s="34" t="s">
        <v>984</v>
      </c>
      <c r="D30" s="34" t="s">
        <v>985</v>
      </c>
      <c r="E30" s="34" t="s">
        <v>986</v>
      </c>
      <c r="F30" s="34" t="s">
        <v>987</v>
      </c>
      <c r="G30" s="27"/>
      <c r="H30" s="27"/>
      <c r="I30" s="27"/>
      <c r="J30" s="27"/>
    </row>
    <row r="31" customFormat="false" ht="23.25" hidden="false" customHeight="true" outlineLevel="0" collapsed="false">
      <c r="A31" s="33" t="s">
        <v>111</v>
      </c>
      <c r="B31" s="34" t="s">
        <v>988</v>
      </c>
      <c r="C31" s="34" t="s">
        <v>984</v>
      </c>
      <c r="D31" s="34" t="s">
        <v>985</v>
      </c>
      <c r="E31" s="34" t="s">
        <v>986</v>
      </c>
      <c r="F31" s="34" t="s">
        <v>989</v>
      </c>
      <c r="G31" s="27"/>
      <c r="H31" s="27"/>
      <c r="I31" s="27"/>
      <c r="J31" s="27"/>
    </row>
    <row r="32" customFormat="false" ht="23.25" hidden="false" customHeight="true" outlineLevel="0" collapsed="false">
      <c r="A32" s="62" t="s">
        <v>108</v>
      </c>
      <c r="B32" s="43" t="s">
        <v>990</v>
      </c>
      <c r="C32" s="43" t="s">
        <v>991</v>
      </c>
      <c r="D32" s="43" t="s">
        <v>992</v>
      </c>
      <c r="E32" s="43" t="s">
        <v>992</v>
      </c>
      <c r="F32" s="43" t="s">
        <v>993</v>
      </c>
      <c r="G32" s="27"/>
      <c r="H32" s="27"/>
      <c r="I32" s="27"/>
      <c r="J32" s="27"/>
    </row>
    <row r="33" customFormat="false" ht="6" hidden="false" customHeight="true" outlineLevel="0" collapsed="false">
      <c r="A33" s="4"/>
      <c r="B33" s="5"/>
      <c r="C33" s="5"/>
      <c r="D33" s="5"/>
      <c r="E33" s="5"/>
      <c r="F33" s="5"/>
      <c r="G33" s="5"/>
      <c r="H33" s="5"/>
      <c r="I33" s="5"/>
      <c r="J33" s="5"/>
    </row>
    <row r="34" customFormat="false" ht="21.75" hidden="false" customHeight="true" outlineLevel="0" collapsed="false">
      <c r="A34" s="30" t="s">
        <v>994</v>
      </c>
      <c r="B34" s="30"/>
      <c r="C34" s="30"/>
      <c r="D34" s="30"/>
      <c r="E34" s="30"/>
      <c r="F34" s="30"/>
      <c r="G34" s="30"/>
      <c r="H34" s="30"/>
      <c r="I34" s="30"/>
      <c r="J34" s="30"/>
    </row>
    <row r="35" customFormat="false" ht="6" hidden="false" customHeight="true" outlineLevel="0" collapsed="false">
      <c r="A35" s="4"/>
      <c r="B35" s="5"/>
      <c r="C35" s="5"/>
      <c r="D35" s="5"/>
      <c r="E35" s="5"/>
      <c r="F35" s="5"/>
      <c r="G35" s="5"/>
      <c r="H35" s="5"/>
      <c r="I35" s="5"/>
      <c r="J35" s="5"/>
    </row>
    <row r="36" customFormat="false" ht="24" hidden="false" customHeight="true" outlineLevel="0" collapsed="false">
      <c r="A36" s="61" t="s">
        <v>995</v>
      </c>
      <c r="B36" s="61"/>
      <c r="C36" s="61"/>
      <c r="D36" s="61"/>
      <c r="E36" s="61"/>
      <c r="F36" s="61"/>
      <c r="G36" s="61"/>
      <c r="H36" s="61"/>
      <c r="I36" s="61"/>
      <c r="J36" s="61"/>
    </row>
    <row r="37" customFormat="false" ht="33.75" hidden="false" customHeight="true" outlineLevel="0" collapsed="false">
      <c r="A37" s="30" t="s">
        <v>996</v>
      </c>
      <c r="B37" s="30"/>
      <c r="C37" s="30"/>
      <c r="D37" s="30"/>
      <c r="E37" s="30"/>
      <c r="F37" s="30"/>
      <c r="G37" s="30"/>
      <c r="H37" s="30"/>
      <c r="I37" s="30"/>
      <c r="J37" s="30"/>
    </row>
    <row r="38" customFormat="false" ht="18" hidden="false" customHeight="true" outlineLevel="0" collapsed="false">
      <c r="A38" s="31" t="s">
        <v>997</v>
      </c>
      <c r="B38" s="32" t="s">
        <v>998</v>
      </c>
      <c r="C38" s="32" t="s">
        <v>739</v>
      </c>
      <c r="D38" s="32" t="s">
        <v>392</v>
      </c>
      <c r="E38" s="32" t="s">
        <v>393</v>
      </c>
      <c r="F38" s="32" t="s">
        <v>242</v>
      </c>
      <c r="G38" s="32"/>
      <c r="H38" s="32"/>
      <c r="I38" s="32"/>
      <c r="J38" s="32"/>
    </row>
    <row r="39" customFormat="false" ht="18" hidden="false" customHeight="true" outlineLevel="0" collapsed="false">
      <c r="A39" s="26" t="s">
        <v>999</v>
      </c>
      <c r="B39" s="27" t="s">
        <v>1000</v>
      </c>
      <c r="C39" s="27" t="s">
        <v>1001</v>
      </c>
      <c r="D39" s="27" t="s">
        <v>1002</v>
      </c>
      <c r="E39" s="27" t="s">
        <v>1003</v>
      </c>
      <c r="F39" s="27" t="s">
        <v>465</v>
      </c>
      <c r="G39" s="27"/>
      <c r="H39" s="27"/>
      <c r="I39" s="27"/>
      <c r="J39" s="27"/>
    </row>
    <row r="40" customFormat="false" ht="23.25" hidden="false" customHeight="true" outlineLevel="0" collapsed="false">
      <c r="A40" s="26" t="s">
        <v>1004</v>
      </c>
      <c r="B40" s="27" t="s">
        <v>1005</v>
      </c>
      <c r="C40" s="27" t="s">
        <v>1001</v>
      </c>
      <c r="D40" s="27" t="s">
        <v>1006</v>
      </c>
      <c r="E40" s="27" t="s">
        <v>1007</v>
      </c>
      <c r="F40" s="27" t="s">
        <v>1008</v>
      </c>
      <c r="G40" s="27"/>
      <c r="H40" s="27"/>
      <c r="I40" s="27"/>
      <c r="J40" s="27"/>
    </row>
    <row r="41" customFormat="false" ht="23.25" hidden="false" customHeight="true" outlineLevel="0" collapsed="false">
      <c r="A41" s="26" t="s">
        <v>1009</v>
      </c>
      <c r="B41" s="27" t="s">
        <v>1010</v>
      </c>
      <c r="C41" s="27" t="s">
        <v>1011</v>
      </c>
      <c r="D41" s="27" t="s">
        <v>1012</v>
      </c>
      <c r="E41" s="27" t="s">
        <v>1013</v>
      </c>
      <c r="F41" s="27" t="s">
        <v>1014</v>
      </c>
      <c r="G41" s="27"/>
      <c r="H41" s="27"/>
      <c r="I41" s="27"/>
      <c r="J41" s="27"/>
    </row>
    <row r="42" customFormat="false" ht="6" hidden="false" customHeight="true" outlineLevel="0" collapsed="false">
      <c r="A42" s="4"/>
      <c r="B42" s="5"/>
      <c r="C42" s="5"/>
      <c r="D42" s="5"/>
      <c r="E42" s="5"/>
      <c r="F42" s="5"/>
      <c r="G42" s="5"/>
      <c r="H42" s="5"/>
      <c r="I42" s="5"/>
      <c r="J42" s="5"/>
    </row>
    <row r="43" customFormat="false" ht="24" hidden="false" customHeight="true" outlineLevel="0" collapsed="false">
      <c r="A43" s="61" t="s">
        <v>1015</v>
      </c>
      <c r="B43" s="61"/>
      <c r="C43" s="61"/>
      <c r="D43" s="61"/>
      <c r="E43" s="61"/>
      <c r="F43" s="61"/>
      <c r="G43" s="61"/>
      <c r="H43" s="61"/>
      <c r="I43" s="61"/>
      <c r="J43" s="61"/>
    </row>
    <row r="44" customFormat="false" ht="30" hidden="false" customHeight="true" outlineLevel="0" collapsed="false">
      <c r="A44" s="30" t="s">
        <v>1016</v>
      </c>
      <c r="B44" s="30"/>
      <c r="C44" s="30"/>
      <c r="D44" s="30"/>
      <c r="E44" s="30"/>
      <c r="F44" s="30"/>
      <c r="G44" s="30"/>
      <c r="H44" s="30"/>
      <c r="I44" s="30"/>
      <c r="J44" s="30"/>
    </row>
    <row r="45" customFormat="false" ht="6" hidden="false" customHeight="true" outlineLevel="0" collapsed="false">
      <c r="A45" s="4"/>
      <c r="B45" s="5"/>
      <c r="C45" s="5"/>
      <c r="D45" s="5"/>
      <c r="E45" s="5"/>
      <c r="F45" s="5"/>
      <c r="G45" s="5"/>
      <c r="H45" s="5"/>
      <c r="I45" s="5"/>
      <c r="J45" s="5"/>
    </row>
    <row r="46" customFormat="false" ht="24" hidden="false" customHeight="true" outlineLevel="0" collapsed="false">
      <c r="A46" s="6" t="s">
        <v>1017</v>
      </c>
      <c r="B46" s="6"/>
      <c r="C46" s="6"/>
      <c r="D46" s="6"/>
      <c r="E46" s="6"/>
      <c r="F46" s="6"/>
      <c r="G46" s="6"/>
      <c r="H46" s="6"/>
      <c r="I46" s="6"/>
      <c r="J46" s="6"/>
    </row>
    <row r="47" customFormat="false" ht="38.25" hidden="false" customHeight="true" outlineLevel="0" collapsed="false">
      <c r="A47" s="30" t="s">
        <v>1018</v>
      </c>
      <c r="B47" s="30"/>
      <c r="C47" s="30"/>
      <c r="D47" s="30"/>
      <c r="E47" s="30"/>
      <c r="F47" s="30"/>
      <c r="G47" s="30"/>
      <c r="H47" s="30"/>
      <c r="I47" s="30"/>
      <c r="J47" s="30"/>
    </row>
    <row r="48" customFormat="false" ht="6" hidden="false" customHeight="true" outlineLevel="0" collapsed="false">
      <c r="A48" s="4"/>
      <c r="B48" s="5"/>
      <c r="C48" s="5"/>
      <c r="D48" s="5"/>
      <c r="E48" s="5"/>
      <c r="F48" s="5"/>
      <c r="G48" s="5"/>
      <c r="H48" s="5"/>
      <c r="I48" s="5"/>
      <c r="J48" s="5"/>
    </row>
    <row r="49" customFormat="false" ht="24" hidden="false" customHeight="true" outlineLevel="0" collapsed="false">
      <c r="A49" s="63" t="s">
        <v>1019</v>
      </c>
      <c r="B49" s="63"/>
      <c r="C49" s="63"/>
      <c r="D49" s="63"/>
      <c r="E49" s="63"/>
      <c r="F49" s="63"/>
      <c r="G49" s="63"/>
      <c r="H49" s="63"/>
      <c r="I49" s="63"/>
      <c r="J49" s="63"/>
    </row>
    <row r="50" customFormat="false" ht="34.5" hidden="false" customHeight="true" outlineLevel="0" collapsed="false">
      <c r="A50" s="30" t="s">
        <v>1020</v>
      </c>
      <c r="B50" s="30"/>
      <c r="C50" s="30"/>
      <c r="D50" s="30"/>
      <c r="E50" s="30"/>
      <c r="F50" s="30"/>
      <c r="G50" s="30"/>
      <c r="H50" s="30"/>
      <c r="I50" s="30"/>
      <c r="J50" s="30"/>
    </row>
    <row r="51" customFormat="false" ht="6" hidden="false" customHeight="true" outlineLevel="0" collapsed="false">
      <c r="A51" s="4"/>
      <c r="B51" s="5"/>
      <c r="C51" s="5"/>
      <c r="D51" s="5"/>
      <c r="E51" s="5"/>
      <c r="F51" s="5"/>
      <c r="G51" s="5"/>
      <c r="H51" s="5"/>
      <c r="I51" s="5"/>
      <c r="J51" s="5"/>
    </row>
    <row r="52" customFormat="false" ht="24" hidden="false" customHeight="true" outlineLevel="0" collapsed="false">
      <c r="A52" s="6" t="s">
        <v>1021</v>
      </c>
      <c r="B52" s="6"/>
      <c r="C52" s="6"/>
      <c r="D52" s="6"/>
      <c r="E52" s="6"/>
      <c r="F52" s="6"/>
      <c r="G52" s="6"/>
      <c r="H52" s="6"/>
      <c r="I52" s="6"/>
      <c r="J52" s="6"/>
    </row>
    <row r="53" customFormat="false" ht="23.25" hidden="false" customHeight="true" outlineLevel="0" collapsed="false">
      <c r="A53" s="31" t="s">
        <v>653</v>
      </c>
      <c r="B53" s="32" t="s">
        <v>1022</v>
      </c>
      <c r="C53" s="32" t="s">
        <v>1023</v>
      </c>
      <c r="D53" s="32" t="s">
        <v>1024</v>
      </c>
      <c r="E53" s="32" t="s">
        <v>1025</v>
      </c>
      <c r="F53" s="32"/>
      <c r="G53" s="32"/>
      <c r="H53" s="32"/>
      <c r="I53" s="32"/>
      <c r="J53" s="32"/>
    </row>
    <row r="54" customFormat="false" ht="18" hidden="false" customHeight="true" outlineLevel="0" collapsed="false">
      <c r="A54" s="26" t="s">
        <v>663</v>
      </c>
      <c r="B54" s="27" t="s">
        <v>1026</v>
      </c>
      <c r="C54" s="27" t="s">
        <v>1027</v>
      </c>
      <c r="D54" s="27" t="s">
        <v>1028</v>
      </c>
      <c r="E54" s="27" t="s">
        <v>1029</v>
      </c>
      <c r="F54" s="27"/>
      <c r="G54" s="27"/>
      <c r="H54" s="27"/>
      <c r="I54" s="27"/>
      <c r="J54" s="27"/>
    </row>
    <row r="55" customFormat="false" ht="18" hidden="false" customHeight="true" outlineLevel="0" collapsed="false">
      <c r="A55" s="26" t="s">
        <v>1030</v>
      </c>
      <c r="B55" s="27" t="s">
        <v>1031</v>
      </c>
      <c r="C55" s="27" t="s">
        <v>1032</v>
      </c>
      <c r="D55" s="27" t="s">
        <v>1033</v>
      </c>
      <c r="E55" s="27" t="s">
        <v>1034</v>
      </c>
      <c r="F55" s="27"/>
      <c r="G55" s="27"/>
      <c r="H55" s="27"/>
      <c r="I55" s="27"/>
      <c r="J55" s="27"/>
    </row>
    <row r="56" customFormat="false" ht="18" hidden="false" customHeight="true" outlineLevel="0" collapsed="false">
      <c r="A56" s="26" t="s">
        <v>98</v>
      </c>
      <c r="B56" s="27" t="s">
        <v>1035</v>
      </c>
      <c r="C56" s="27" t="s">
        <v>1036</v>
      </c>
      <c r="D56" s="27" t="s">
        <v>1037</v>
      </c>
      <c r="E56" s="27" t="s">
        <v>1038</v>
      </c>
      <c r="F56" s="27"/>
      <c r="G56" s="27"/>
      <c r="H56" s="27"/>
      <c r="I56" s="27"/>
      <c r="J56" s="27"/>
    </row>
    <row r="57" customFormat="false" ht="18" hidden="false" customHeight="true" outlineLevel="0" collapsed="false">
      <c r="A57" s="26" t="s">
        <v>1039</v>
      </c>
      <c r="B57" s="27" t="s">
        <v>56</v>
      </c>
      <c r="C57" s="27" t="s">
        <v>1040</v>
      </c>
      <c r="D57" s="27" t="s">
        <v>1041</v>
      </c>
      <c r="E57" s="27" t="s">
        <v>15</v>
      </c>
      <c r="F57" s="27"/>
      <c r="G57" s="27"/>
      <c r="H57" s="27"/>
      <c r="I57" s="27"/>
      <c r="J57" s="27"/>
    </row>
    <row r="58" customFormat="false" ht="18" hidden="false" customHeight="true" outlineLevel="0" collapsed="false">
      <c r="A58" s="26" t="s">
        <v>1042</v>
      </c>
      <c r="B58" s="27" t="s">
        <v>1043</v>
      </c>
      <c r="C58" s="27" t="s">
        <v>1044</v>
      </c>
      <c r="D58" s="27" t="s">
        <v>1045</v>
      </c>
      <c r="E58" s="27" t="s">
        <v>1046</v>
      </c>
      <c r="F58" s="27"/>
      <c r="G58" s="27"/>
      <c r="H58" s="27"/>
      <c r="I58" s="27"/>
      <c r="J58" s="27"/>
    </row>
    <row r="59" customFormat="false" ht="23.25" hidden="false" customHeight="true" outlineLevel="0" collapsed="false">
      <c r="A59" s="26" t="s">
        <v>662</v>
      </c>
      <c r="B59" s="27" t="s">
        <v>53</v>
      </c>
      <c r="C59" s="27" t="s">
        <v>1047</v>
      </c>
      <c r="D59" s="27" t="s">
        <v>1048</v>
      </c>
      <c r="E59" s="27" t="s">
        <v>1049</v>
      </c>
      <c r="F59" s="27"/>
      <c r="G59" s="27"/>
      <c r="H59" s="27"/>
      <c r="I59" s="27"/>
      <c r="J59" s="27"/>
    </row>
    <row r="60" customFormat="false" ht="6" hidden="false" customHeight="true" outlineLevel="0" collapsed="false">
      <c r="A60" s="4"/>
      <c r="B60" s="5"/>
      <c r="C60" s="5"/>
      <c r="D60" s="5"/>
      <c r="E60" s="5"/>
      <c r="F60" s="5"/>
      <c r="G60" s="5"/>
      <c r="H60" s="5"/>
      <c r="I60" s="5"/>
      <c r="J60" s="5"/>
    </row>
    <row r="61" customFormat="false" ht="31.5" hidden="false" customHeight="true" outlineLevel="0" collapsed="false">
      <c r="A61" s="44" t="s">
        <v>1050</v>
      </c>
      <c r="B61" s="44"/>
      <c r="C61" s="44"/>
      <c r="D61" s="44"/>
      <c r="E61" s="44"/>
      <c r="F61" s="44"/>
      <c r="G61" s="44"/>
      <c r="H61" s="44"/>
      <c r="I61" s="44"/>
      <c r="J61" s="44"/>
    </row>
    <row r="62" customFormat="false" ht="6" hidden="false" customHeight="true" outlineLevel="0" collapsed="false">
      <c r="A62" s="4"/>
      <c r="B62" s="5"/>
      <c r="C62" s="5"/>
      <c r="D62" s="5"/>
      <c r="E62" s="5"/>
      <c r="F62" s="5"/>
      <c r="G62" s="5"/>
      <c r="H62" s="5"/>
      <c r="I62" s="5"/>
      <c r="J62" s="5"/>
    </row>
    <row r="63" customFormat="false" ht="24" hidden="false" customHeight="true" outlineLevel="0" collapsed="false">
      <c r="A63" s="6" t="s">
        <v>1051</v>
      </c>
      <c r="B63" s="6"/>
      <c r="C63" s="6"/>
      <c r="D63" s="6"/>
      <c r="E63" s="6"/>
      <c r="F63" s="6"/>
      <c r="G63" s="6"/>
      <c r="H63" s="6"/>
      <c r="I63" s="6"/>
      <c r="J63" s="6"/>
    </row>
    <row r="64" customFormat="false" ht="18" hidden="false" customHeight="true" outlineLevel="0" collapsed="false">
      <c r="A64" s="31" t="s">
        <v>891</v>
      </c>
      <c r="B64" s="32" t="s">
        <v>1052</v>
      </c>
      <c r="C64" s="32" t="s">
        <v>151</v>
      </c>
      <c r="D64" s="32" t="s">
        <v>1053</v>
      </c>
      <c r="E64" s="32" t="s">
        <v>1054</v>
      </c>
      <c r="F64" s="32" t="s">
        <v>1055</v>
      </c>
      <c r="G64" s="32" t="s">
        <v>156</v>
      </c>
      <c r="H64" s="32"/>
      <c r="I64" s="32"/>
      <c r="J64" s="32"/>
    </row>
    <row r="65" customFormat="false" ht="45.75" hidden="false" customHeight="true" outlineLevel="0" collapsed="false">
      <c r="A65" s="26" t="s">
        <v>1056</v>
      </c>
      <c r="B65" s="27" t="s">
        <v>1057</v>
      </c>
      <c r="C65" s="27" t="s">
        <v>1058</v>
      </c>
      <c r="D65" s="27" t="s">
        <v>1059</v>
      </c>
      <c r="E65" s="27" t="s">
        <v>1060</v>
      </c>
      <c r="F65" s="27" t="s">
        <v>1061</v>
      </c>
      <c r="G65" s="27" t="s">
        <v>1062</v>
      </c>
      <c r="H65" s="27"/>
      <c r="I65" s="27"/>
      <c r="J65" s="27"/>
    </row>
    <row r="66" customFormat="false" ht="45.75" hidden="false" customHeight="true" outlineLevel="0" collapsed="false">
      <c r="A66" s="26" t="s">
        <v>1063</v>
      </c>
      <c r="B66" s="27" t="s">
        <v>1064</v>
      </c>
      <c r="C66" s="27" t="s">
        <v>1065</v>
      </c>
      <c r="D66" s="27" t="s">
        <v>1066</v>
      </c>
      <c r="E66" s="27" t="s">
        <v>1067</v>
      </c>
      <c r="F66" s="27" t="s">
        <v>1068</v>
      </c>
      <c r="G66" s="27" t="s">
        <v>906</v>
      </c>
      <c r="H66" s="27"/>
      <c r="I66" s="27"/>
      <c r="J66" s="27"/>
    </row>
    <row r="67" customFormat="false" ht="45.75" hidden="false" customHeight="true" outlineLevel="0" collapsed="false">
      <c r="A67" s="26" t="s">
        <v>551</v>
      </c>
      <c r="B67" s="27" t="s">
        <v>1069</v>
      </c>
      <c r="C67" s="27" t="s">
        <v>1070</v>
      </c>
      <c r="D67" s="27" t="s">
        <v>1071</v>
      </c>
      <c r="E67" s="27" t="s">
        <v>1067</v>
      </c>
      <c r="F67" s="27" t="s">
        <v>1072</v>
      </c>
      <c r="G67" s="27" t="s">
        <v>898</v>
      </c>
      <c r="H67" s="27"/>
      <c r="I67" s="27"/>
      <c r="J67" s="27"/>
    </row>
    <row r="68" customFormat="false" ht="45.75" hidden="false" customHeight="true" outlineLevel="0" collapsed="false">
      <c r="A68" s="26" t="s">
        <v>545</v>
      </c>
      <c r="B68" s="27" t="s">
        <v>1073</v>
      </c>
      <c r="C68" s="27" t="s">
        <v>1074</v>
      </c>
      <c r="D68" s="27" t="s">
        <v>1075</v>
      </c>
      <c r="E68" s="27" t="s">
        <v>1076</v>
      </c>
      <c r="F68" s="27" t="s">
        <v>1077</v>
      </c>
      <c r="G68" s="27" t="s">
        <v>1078</v>
      </c>
      <c r="H68" s="27"/>
      <c r="I68" s="27"/>
      <c r="J68" s="27"/>
    </row>
    <row r="69" customFormat="false" ht="6" hidden="false" customHeight="true" outlineLevel="0" collapsed="false">
      <c r="A69" s="4"/>
      <c r="B69" s="5"/>
      <c r="C69" s="5"/>
      <c r="D69" s="5"/>
      <c r="E69" s="5"/>
      <c r="F69" s="5"/>
      <c r="G69" s="5"/>
      <c r="H69" s="5"/>
      <c r="I69" s="5"/>
      <c r="J69" s="5"/>
    </row>
    <row r="70" customFormat="false" ht="24" hidden="false" customHeight="true" outlineLevel="0" collapsed="false">
      <c r="A70" s="6" t="s">
        <v>1079</v>
      </c>
      <c r="B70" s="6"/>
      <c r="C70" s="6"/>
      <c r="D70" s="6"/>
      <c r="E70" s="6"/>
      <c r="F70" s="6"/>
      <c r="G70" s="6"/>
      <c r="H70" s="6"/>
      <c r="I70" s="6"/>
      <c r="J70" s="6"/>
    </row>
    <row r="71" customFormat="false" ht="37.5" hidden="false" customHeight="true" outlineLevel="0" collapsed="false">
      <c r="A71" s="30" t="s">
        <v>1080</v>
      </c>
      <c r="B71" s="30"/>
      <c r="C71" s="30"/>
      <c r="D71" s="30"/>
      <c r="E71" s="30"/>
      <c r="F71" s="30"/>
      <c r="G71" s="30"/>
      <c r="H71" s="30"/>
      <c r="I71" s="30"/>
      <c r="J71" s="30"/>
    </row>
  </sheetData>
  <mergeCells count="22">
    <mergeCell ref="A2:J2"/>
    <mergeCell ref="A4:J4"/>
    <mergeCell ref="A14:J14"/>
    <mergeCell ref="A16:J16"/>
    <mergeCell ref="A17:J17"/>
    <mergeCell ref="A18:J18"/>
    <mergeCell ref="A27:J27"/>
    <mergeCell ref="A28:J28"/>
    <mergeCell ref="A34:J34"/>
    <mergeCell ref="A36:J36"/>
    <mergeCell ref="A37:J37"/>
    <mergeCell ref="A43:J43"/>
    <mergeCell ref="A44:J44"/>
    <mergeCell ref="A46:J46"/>
    <mergeCell ref="A47:J47"/>
    <mergeCell ref="A49:J49"/>
    <mergeCell ref="A50:J50"/>
    <mergeCell ref="A52:J52"/>
    <mergeCell ref="A61:J61"/>
    <mergeCell ref="A63:J63"/>
    <mergeCell ref="A70:J70"/>
    <mergeCell ref="A71:J71"/>
  </mergeCells>
  <printOptions headings="false" gridLines="false" gridLinesSet="true" horizontalCentered="false" verticalCentered="false"/>
  <pageMargins left="0.4" right="0.4" top="0.5" bottom="0.5" header="0.25" footer="0.25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&amp;CWillis Holdings</oddHeader>
    <oddFooter>&amp;CCONFIDENTIAL  | 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472C4"/>
    <pageSetUpPr fitToPage="false"/>
  </sheetPr>
  <dimension ref="A1:I3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34"/>
    <col collapsed="false" customWidth="true" hidden="false" outlineLevel="0" max="3" min="2" style="1" width="12"/>
    <col collapsed="false" customWidth="true" hidden="false" outlineLevel="0" max="6" min="4" style="1" width="10"/>
    <col collapsed="false" customWidth="true" hidden="false" outlineLevel="0" max="9" min="7" style="1" width="24"/>
  </cols>
  <sheetData>
    <row r="1" customFormat="false" ht="24" hidden="false" customHeight="true" outlineLevel="0" collapsed="false">
      <c r="A1" s="64" t="s">
        <v>1081</v>
      </c>
      <c r="B1" s="64"/>
      <c r="C1" s="64"/>
      <c r="D1" s="64"/>
      <c r="E1" s="64"/>
      <c r="F1" s="64"/>
      <c r="G1" s="64"/>
      <c r="H1" s="64"/>
      <c r="I1" s="64"/>
    </row>
    <row r="2" customFormat="false" ht="21.75" hidden="false" customHeight="true" outlineLevel="0" collapsed="false">
      <c r="A2" s="65" t="s">
        <v>1082</v>
      </c>
      <c r="B2" s="65"/>
      <c r="C2" s="65"/>
      <c r="D2" s="65"/>
      <c r="E2" s="65"/>
      <c r="F2" s="65"/>
      <c r="G2" s="65"/>
      <c r="H2" s="65"/>
      <c r="I2" s="65"/>
    </row>
    <row r="3" customFormat="false" ht="6" hidden="false" customHeight="true" outlineLevel="0" collapsed="false">
      <c r="A3" s="4"/>
      <c r="B3" s="5"/>
      <c r="C3" s="5"/>
      <c r="D3" s="5"/>
      <c r="E3" s="5"/>
      <c r="F3" s="5"/>
      <c r="G3" s="5"/>
      <c r="H3" s="5"/>
      <c r="I3" s="5"/>
    </row>
    <row r="4" customFormat="false" ht="24" hidden="false" customHeight="true" outlineLevel="0" collapsed="false">
      <c r="A4" s="66" t="s">
        <v>1083</v>
      </c>
      <c r="B4" s="66"/>
      <c r="C4" s="66"/>
      <c r="D4" s="66"/>
      <c r="E4" s="66"/>
      <c r="F4" s="66"/>
      <c r="G4" s="66"/>
      <c r="H4" s="66"/>
      <c r="I4" s="66"/>
    </row>
    <row r="5" customFormat="false" ht="24" hidden="false" customHeight="true" outlineLevel="0" collapsed="false">
      <c r="A5" s="67" t="s">
        <v>105</v>
      </c>
      <c r="B5" s="68" t="s">
        <v>10</v>
      </c>
      <c r="C5" s="68" t="s">
        <v>7</v>
      </c>
      <c r="D5" s="68" t="s">
        <v>85</v>
      </c>
      <c r="E5" s="68" t="s">
        <v>9</v>
      </c>
      <c r="F5" s="68" t="s">
        <v>98</v>
      </c>
      <c r="G5" s="68" t="s">
        <v>154</v>
      </c>
      <c r="H5" s="68" t="s">
        <v>1084</v>
      </c>
      <c r="I5" s="68" t="s">
        <v>1085</v>
      </c>
    </row>
    <row r="6" customFormat="false" ht="24" hidden="false" customHeight="true" outlineLevel="0" collapsed="false">
      <c r="A6" s="69" t="s">
        <v>108</v>
      </c>
      <c r="B6" s="70" t="n">
        <v>714</v>
      </c>
      <c r="C6" s="70" t="n">
        <v>0.593</v>
      </c>
      <c r="D6" s="70" t="n">
        <v>33.9</v>
      </c>
      <c r="E6" s="70" t="n">
        <v>7</v>
      </c>
      <c r="F6" s="70" t="n">
        <v>65.1</v>
      </c>
      <c r="G6" s="71" t="s">
        <v>1086</v>
      </c>
      <c r="H6" s="71" t="s">
        <v>1087</v>
      </c>
      <c r="I6" s="72" t="s">
        <v>1088</v>
      </c>
    </row>
    <row r="7" customFormat="false" ht="24" hidden="false" customHeight="true" outlineLevel="0" collapsed="false">
      <c r="A7" s="73" t="s">
        <v>111</v>
      </c>
      <c r="B7" s="74" t="n">
        <v>207</v>
      </c>
      <c r="C7" s="74" t="n">
        <v>0.193</v>
      </c>
      <c r="D7" s="74" t="n">
        <v>37.7</v>
      </c>
      <c r="E7" s="74" t="n">
        <v>4.6</v>
      </c>
      <c r="F7" s="74" t="n">
        <v>13.2</v>
      </c>
      <c r="G7" s="75" t="s">
        <v>1086</v>
      </c>
      <c r="H7" s="75" t="s">
        <v>1087</v>
      </c>
      <c r="I7" s="76" t="s">
        <v>1089</v>
      </c>
    </row>
    <row r="8" customFormat="false" ht="24" hidden="false" customHeight="true" outlineLevel="0" collapsed="false">
      <c r="A8" s="73" t="s">
        <v>114</v>
      </c>
      <c r="B8" s="74" t="n">
        <v>89</v>
      </c>
      <c r="C8" s="74" t="n">
        <v>0.062</v>
      </c>
      <c r="D8" s="74" t="n">
        <v>24.4</v>
      </c>
      <c r="E8" s="74" t="n">
        <v>7.6</v>
      </c>
      <c r="F8" s="74" t="n">
        <v>12.1</v>
      </c>
      <c r="G8" s="75" t="s">
        <v>1086</v>
      </c>
      <c r="H8" s="75" t="s">
        <v>1087</v>
      </c>
      <c r="I8" s="76" t="s">
        <v>1090</v>
      </c>
    </row>
    <row r="9" customFormat="false" ht="24" hidden="false" customHeight="true" outlineLevel="0" collapsed="false">
      <c r="A9" s="73" t="s">
        <v>117</v>
      </c>
      <c r="B9" s="74" t="n">
        <v>17</v>
      </c>
      <c r="C9" s="74" t="n">
        <v>0.242</v>
      </c>
      <c r="D9" s="74" t="n">
        <v>22.2</v>
      </c>
      <c r="E9" s="74" t="n">
        <v>0.3</v>
      </c>
      <c r="F9" s="74" t="s">
        <v>381</v>
      </c>
      <c r="G9" s="75" t="s">
        <v>1086</v>
      </c>
      <c r="H9" s="75" t="s">
        <v>1087</v>
      </c>
      <c r="I9" s="76" t="s">
        <v>1091</v>
      </c>
    </row>
    <row r="10" customFormat="false" ht="24" hidden="false" customHeight="true" outlineLevel="0" collapsed="false">
      <c r="A10" s="77" t="s">
        <v>1092</v>
      </c>
      <c r="B10" s="78" t="n">
        <f aca="false">SUM(B6:B9)</f>
        <v>1027</v>
      </c>
      <c r="C10" s="79" t="n">
        <f aca="false">SUMPRODUCT(B6:B9,C6:C9)/SUM(B6:B9)</f>
        <v>0.460550146056475</v>
      </c>
      <c r="D10" s="80" t="s">
        <v>50</v>
      </c>
      <c r="E10" s="81" t="n">
        <f aca="false">SUM(E6:E9)</f>
        <v>19.5</v>
      </c>
      <c r="F10" s="80" t="s">
        <v>1093</v>
      </c>
      <c r="G10" s="82" t="s">
        <v>1094</v>
      </c>
      <c r="H10" s="82" t="s">
        <v>1095</v>
      </c>
      <c r="I10" s="82" t="s">
        <v>1096</v>
      </c>
    </row>
    <row r="11" customFormat="false" ht="6" hidden="false" customHeight="true" outlineLevel="0" collapsed="false">
      <c r="A11" s="4"/>
      <c r="B11" s="5"/>
      <c r="C11" s="5"/>
      <c r="D11" s="5"/>
      <c r="E11" s="5"/>
      <c r="F11" s="5"/>
      <c r="G11" s="5"/>
      <c r="H11" s="5"/>
      <c r="I11" s="5"/>
    </row>
    <row r="12" customFormat="false" ht="24" hidden="false" customHeight="true" outlineLevel="0" collapsed="false">
      <c r="A12" s="66" t="s">
        <v>1097</v>
      </c>
      <c r="B12" s="66"/>
      <c r="C12" s="66"/>
      <c r="D12" s="66"/>
      <c r="E12" s="66"/>
      <c r="F12" s="66"/>
      <c r="G12" s="66"/>
      <c r="H12" s="66"/>
      <c r="I12" s="66"/>
    </row>
    <row r="13" customFormat="false" ht="24" hidden="false" customHeight="true" outlineLevel="0" collapsed="false">
      <c r="A13" s="67" t="s">
        <v>150</v>
      </c>
      <c r="B13" s="68" t="s">
        <v>1098</v>
      </c>
      <c r="C13" s="68" t="s">
        <v>105</v>
      </c>
      <c r="D13" s="68" t="s">
        <v>85</v>
      </c>
      <c r="E13" s="68" t="s">
        <v>950</v>
      </c>
      <c r="F13" s="68" t="s">
        <v>92</v>
      </c>
      <c r="G13" s="68" t="s">
        <v>154</v>
      </c>
      <c r="H13" s="68" t="s">
        <v>98</v>
      </c>
      <c r="I13" s="68" t="s">
        <v>242</v>
      </c>
    </row>
    <row r="14" customFormat="false" ht="18" hidden="false" customHeight="true" outlineLevel="0" collapsed="false">
      <c r="A14" s="83" t="n">
        <v>1</v>
      </c>
      <c r="B14" s="84" t="s">
        <v>1099</v>
      </c>
      <c r="C14" s="84" t="s">
        <v>108</v>
      </c>
      <c r="D14" s="84" t="s">
        <v>598</v>
      </c>
      <c r="E14" s="84" t="s">
        <v>1100</v>
      </c>
      <c r="F14" s="84" t="n">
        <v>33</v>
      </c>
      <c r="G14" s="84" t="s">
        <v>1101</v>
      </c>
      <c r="H14" s="84" t="n">
        <v>156.7</v>
      </c>
      <c r="I14" s="84" t="s">
        <v>1102</v>
      </c>
    </row>
    <row r="15" customFormat="false" ht="18" hidden="false" customHeight="true" outlineLevel="0" collapsed="false">
      <c r="A15" s="85" t="n">
        <v>2</v>
      </c>
      <c r="B15" s="74" t="s">
        <v>1103</v>
      </c>
      <c r="C15" s="74" t="s">
        <v>108</v>
      </c>
      <c r="D15" s="86" t="n">
        <v>80.3</v>
      </c>
      <c r="E15" s="87" t="n">
        <v>5.1</v>
      </c>
      <c r="F15" s="74" t="n">
        <v>117</v>
      </c>
      <c r="G15" s="75" t="s">
        <v>1104</v>
      </c>
      <c r="H15" s="74" t="s">
        <v>381</v>
      </c>
      <c r="I15" s="74" t="s">
        <v>231</v>
      </c>
    </row>
    <row r="16" customFormat="false" ht="18" hidden="false" customHeight="true" outlineLevel="0" collapsed="false">
      <c r="A16" s="85" t="n">
        <v>3</v>
      </c>
      <c r="B16" s="74" t="s">
        <v>1105</v>
      </c>
      <c r="C16" s="74" t="s">
        <v>1106</v>
      </c>
      <c r="D16" s="86" t="n">
        <v>85.3</v>
      </c>
      <c r="E16" s="87" t="n">
        <v>2.74</v>
      </c>
      <c r="F16" s="74" t="n">
        <v>54</v>
      </c>
      <c r="G16" s="75" t="s">
        <v>1107</v>
      </c>
      <c r="H16" s="74" t="s">
        <v>381</v>
      </c>
      <c r="I16" s="74" t="s">
        <v>205</v>
      </c>
    </row>
    <row r="17" customFormat="false" ht="18" hidden="false" customHeight="true" outlineLevel="0" collapsed="false">
      <c r="A17" s="85" t="n">
        <v>4</v>
      </c>
      <c r="B17" s="74" t="s">
        <v>1108</v>
      </c>
      <c r="C17" s="74" t="s">
        <v>1106</v>
      </c>
      <c r="D17" s="86" t="n">
        <v>84.6</v>
      </c>
      <c r="E17" s="87" t="n">
        <v>2.82</v>
      </c>
      <c r="F17" s="74" t="n">
        <v>26</v>
      </c>
      <c r="G17" s="74" t="s">
        <v>1109</v>
      </c>
      <c r="H17" s="74" t="n">
        <v>30.5</v>
      </c>
      <c r="I17" s="74" t="s">
        <v>226</v>
      </c>
    </row>
    <row r="18" customFormat="false" ht="18" hidden="false" customHeight="true" outlineLevel="0" collapsed="false">
      <c r="A18" s="85" t="n">
        <v>5</v>
      </c>
      <c r="B18" s="74" t="s">
        <v>1110</v>
      </c>
      <c r="C18" s="74" t="s">
        <v>1106</v>
      </c>
      <c r="D18" s="86" t="n">
        <v>79.8</v>
      </c>
      <c r="E18" s="87" t="n">
        <v>2.72</v>
      </c>
      <c r="F18" s="74" t="n">
        <v>109</v>
      </c>
      <c r="G18" s="75" t="s">
        <v>1104</v>
      </c>
      <c r="H18" s="74" t="s">
        <v>381</v>
      </c>
      <c r="I18" s="74" t="s">
        <v>231</v>
      </c>
    </row>
    <row r="19" customFormat="false" ht="18" hidden="false" customHeight="true" outlineLevel="0" collapsed="false">
      <c r="A19" s="85" t="n">
        <v>6</v>
      </c>
      <c r="B19" s="74" t="s">
        <v>316</v>
      </c>
      <c r="C19" s="74" t="s">
        <v>108</v>
      </c>
      <c r="D19" s="86" t="n">
        <v>73.6</v>
      </c>
      <c r="E19" s="87" t="n">
        <v>3.8</v>
      </c>
      <c r="F19" s="74" t="n">
        <v>148</v>
      </c>
      <c r="G19" s="75" t="s">
        <v>1104</v>
      </c>
      <c r="H19" s="74" t="s">
        <v>381</v>
      </c>
      <c r="I19" s="74" t="s">
        <v>231</v>
      </c>
    </row>
    <row r="20" customFormat="false" ht="18" hidden="false" customHeight="true" outlineLevel="0" collapsed="false">
      <c r="A20" s="85" t="n">
        <v>7</v>
      </c>
      <c r="B20" s="74" t="s">
        <v>325</v>
      </c>
      <c r="C20" s="74" t="s">
        <v>1106</v>
      </c>
      <c r="D20" s="88" t="n">
        <v>69.5</v>
      </c>
      <c r="E20" s="87" t="n">
        <v>2.54</v>
      </c>
      <c r="F20" s="74" t="n">
        <v>233</v>
      </c>
      <c r="G20" s="75" t="s">
        <v>1104</v>
      </c>
      <c r="H20" s="74" t="s">
        <v>381</v>
      </c>
      <c r="I20" s="74" t="s">
        <v>231</v>
      </c>
    </row>
    <row r="21" customFormat="false" ht="26.25" hidden="false" customHeight="true" outlineLevel="0" collapsed="false">
      <c r="A21" s="85" t="n">
        <v>8</v>
      </c>
      <c r="B21" s="74" t="s">
        <v>326</v>
      </c>
      <c r="C21" s="74" t="s">
        <v>108</v>
      </c>
      <c r="D21" s="88" t="n">
        <v>69.2</v>
      </c>
      <c r="E21" s="87" t="n">
        <v>3.63</v>
      </c>
      <c r="F21" s="74" t="n">
        <v>20</v>
      </c>
      <c r="G21" s="75" t="s">
        <v>1107</v>
      </c>
      <c r="H21" s="74" t="s">
        <v>381</v>
      </c>
      <c r="I21" s="74" t="s">
        <v>205</v>
      </c>
    </row>
    <row r="22" customFormat="false" ht="26.25" hidden="false" customHeight="true" outlineLevel="0" collapsed="false">
      <c r="A22" s="85" t="n">
        <v>9</v>
      </c>
      <c r="B22" s="74" t="s">
        <v>1111</v>
      </c>
      <c r="C22" s="74" t="s">
        <v>108</v>
      </c>
      <c r="D22" s="89" t="n">
        <v>45</v>
      </c>
      <c r="E22" s="87" t="n">
        <v>2.73</v>
      </c>
      <c r="F22" s="74" t="n">
        <v>80</v>
      </c>
      <c r="G22" s="90" t="s">
        <v>1112</v>
      </c>
      <c r="H22" s="74" t="n">
        <v>75</v>
      </c>
      <c r="I22" s="74" t="s">
        <v>209</v>
      </c>
    </row>
    <row r="23" customFormat="false" ht="26.25" hidden="false" customHeight="true" outlineLevel="0" collapsed="false">
      <c r="A23" s="85" t="n">
        <v>10</v>
      </c>
      <c r="B23" s="74" t="s">
        <v>1113</v>
      </c>
      <c r="C23" s="74" t="s">
        <v>108</v>
      </c>
      <c r="D23" s="89" t="n">
        <v>40</v>
      </c>
      <c r="E23" s="87" t="n">
        <v>2.24</v>
      </c>
      <c r="F23" s="74" t="n">
        <v>106</v>
      </c>
      <c r="G23" s="90" t="s">
        <v>1112</v>
      </c>
      <c r="H23" s="74" t="s">
        <v>381</v>
      </c>
      <c r="I23" s="74" t="s">
        <v>209</v>
      </c>
    </row>
    <row r="24" customFormat="false" ht="18" hidden="false" customHeight="true" outlineLevel="0" collapsed="false">
      <c r="A24" s="85" t="n">
        <v>11</v>
      </c>
      <c r="B24" s="74" t="s">
        <v>1114</v>
      </c>
      <c r="C24" s="74" t="s">
        <v>108</v>
      </c>
      <c r="D24" s="89" t="n">
        <v>50</v>
      </c>
      <c r="E24" s="87" t="n">
        <v>4.59</v>
      </c>
      <c r="F24" s="74" t="n">
        <v>8</v>
      </c>
      <c r="G24" s="90" t="s">
        <v>1112</v>
      </c>
      <c r="H24" s="74" t="s">
        <v>381</v>
      </c>
      <c r="I24" s="74" t="s">
        <v>209</v>
      </c>
    </row>
    <row r="25" customFormat="false" ht="18" hidden="false" customHeight="true" outlineLevel="0" collapsed="false">
      <c r="A25" s="85" t="n">
        <v>12</v>
      </c>
      <c r="B25" s="74" t="s">
        <v>1115</v>
      </c>
      <c r="C25" s="74" t="s">
        <v>5</v>
      </c>
      <c r="D25" s="89" t="n">
        <v>33</v>
      </c>
      <c r="E25" s="87" t="n">
        <v>1.37</v>
      </c>
      <c r="F25" s="74" t="n">
        <v>3500</v>
      </c>
      <c r="G25" s="75" t="s">
        <v>1107</v>
      </c>
      <c r="H25" s="74" t="n">
        <v>119.3</v>
      </c>
      <c r="I25" s="74" t="s">
        <v>198</v>
      </c>
    </row>
    <row r="26" customFormat="false" ht="18" hidden="false" customHeight="true" outlineLevel="0" collapsed="false">
      <c r="A26" s="85" t="n">
        <v>13</v>
      </c>
      <c r="B26" s="74" t="s">
        <v>1116</v>
      </c>
      <c r="C26" s="74" t="s">
        <v>1117</v>
      </c>
      <c r="D26" s="89" t="n">
        <v>57.4</v>
      </c>
      <c r="E26" s="87" t="n">
        <v>2.48</v>
      </c>
      <c r="F26" s="74" t="n">
        <v>373</v>
      </c>
      <c r="G26" s="75" t="s">
        <v>1107</v>
      </c>
      <c r="H26" s="74" t="n">
        <v>122.1</v>
      </c>
      <c r="I26" s="74" t="s">
        <v>198</v>
      </c>
    </row>
    <row r="27" customFormat="false" ht="18" hidden="false" customHeight="true" outlineLevel="0" collapsed="false">
      <c r="A27" s="85" t="n">
        <v>14</v>
      </c>
      <c r="B27" s="74" t="s">
        <v>1118</v>
      </c>
      <c r="C27" s="74" t="s">
        <v>1117</v>
      </c>
      <c r="D27" s="89" t="n">
        <v>56.8</v>
      </c>
      <c r="E27" s="87" t="n">
        <v>2.23</v>
      </c>
      <c r="F27" s="74" t="n">
        <v>396</v>
      </c>
      <c r="G27" s="75" t="s">
        <v>1107</v>
      </c>
      <c r="H27" s="74" t="n">
        <v>101.1</v>
      </c>
      <c r="I27" s="74" t="s">
        <v>198</v>
      </c>
    </row>
    <row r="28" customFormat="false" ht="18" hidden="false" customHeight="true" outlineLevel="0" collapsed="false">
      <c r="A28" s="85" t="n">
        <v>15</v>
      </c>
      <c r="B28" s="74" t="s">
        <v>1119</v>
      </c>
      <c r="C28" s="74" t="s">
        <v>114</v>
      </c>
      <c r="D28" s="89" t="n">
        <v>50.9</v>
      </c>
      <c r="E28" s="87" t="n">
        <v>1.27</v>
      </c>
      <c r="F28" s="74" t="n">
        <v>400</v>
      </c>
      <c r="G28" s="75" t="s">
        <v>1107</v>
      </c>
      <c r="H28" s="74" t="n">
        <v>46.2</v>
      </c>
      <c r="I28" s="74" t="s">
        <v>934</v>
      </c>
    </row>
    <row r="29" customFormat="false" ht="18" hidden="false" customHeight="true" outlineLevel="0" collapsed="false">
      <c r="A29" s="85" t="n">
        <v>16</v>
      </c>
      <c r="B29" s="74" t="s">
        <v>1120</v>
      </c>
      <c r="C29" s="74" t="s">
        <v>114</v>
      </c>
      <c r="D29" s="89" t="n">
        <v>50.6</v>
      </c>
      <c r="E29" s="87" t="n">
        <v>1.36</v>
      </c>
      <c r="F29" s="74" t="n">
        <v>322</v>
      </c>
      <c r="G29" s="75" t="s">
        <v>1107</v>
      </c>
      <c r="H29" s="74" t="n">
        <v>34.2</v>
      </c>
      <c r="I29" s="74" t="s">
        <v>198</v>
      </c>
    </row>
    <row r="30" customFormat="false" ht="26.25" hidden="false" customHeight="true" outlineLevel="0" collapsed="false">
      <c r="A30" s="85" t="n">
        <v>17</v>
      </c>
      <c r="B30" s="74" t="s">
        <v>1121</v>
      </c>
      <c r="C30" s="74" t="s">
        <v>1106</v>
      </c>
      <c r="D30" s="89" t="n">
        <v>58.4</v>
      </c>
      <c r="E30" s="87" t="n">
        <v>1.38</v>
      </c>
      <c r="F30" s="74" t="n">
        <v>587</v>
      </c>
      <c r="G30" s="75" t="s">
        <v>1107</v>
      </c>
      <c r="H30" s="74" t="n">
        <v>73.5</v>
      </c>
      <c r="I30" s="74" t="s">
        <v>198</v>
      </c>
    </row>
    <row r="31" customFormat="false" ht="18" hidden="false" customHeight="true" outlineLevel="0" collapsed="false">
      <c r="A31" s="85" t="n">
        <v>18</v>
      </c>
      <c r="B31" s="74" t="s">
        <v>1122</v>
      </c>
      <c r="C31" s="74" t="s">
        <v>108</v>
      </c>
      <c r="D31" s="88" t="n">
        <v>60</v>
      </c>
      <c r="E31" s="87" t="n">
        <v>4.82</v>
      </c>
      <c r="F31" s="74" t="n">
        <v>34</v>
      </c>
      <c r="G31" s="90" t="s">
        <v>1112</v>
      </c>
      <c r="H31" s="74" t="s">
        <v>381</v>
      </c>
      <c r="I31" s="74" t="s">
        <v>213</v>
      </c>
    </row>
    <row r="32" customFormat="false" ht="18" hidden="false" customHeight="true" outlineLevel="0" collapsed="false">
      <c r="A32" s="85" t="n">
        <v>19</v>
      </c>
      <c r="B32" s="74" t="s">
        <v>457</v>
      </c>
      <c r="C32" s="74" t="s">
        <v>1123</v>
      </c>
      <c r="D32" s="88" t="n">
        <v>65.3</v>
      </c>
      <c r="E32" s="87" t="n">
        <v>4.31</v>
      </c>
      <c r="F32" s="74" t="n">
        <v>94</v>
      </c>
      <c r="G32" s="74" t="s">
        <v>1109</v>
      </c>
      <c r="H32" s="74" t="n">
        <v>52.7</v>
      </c>
      <c r="I32" s="74" t="s">
        <v>217</v>
      </c>
    </row>
    <row r="33" customFormat="false" ht="26.25" hidden="false" customHeight="true" outlineLevel="0" collapsed="false">
      <c r="A33" s="85" t="n">
        <v>20</v>
      </c>
      <c r="B33" s="74" t="s">
        <v>1124</v>
      </c>
      <c r="C33" s="74" t="s">
        <v>1123</v>
      </c>
      <c r="D33" s="88" t="n">
        <v>68.4</v>
      </c>
      <c r="E33" s="87" t="n">
        <v>11.05</v>
      </c>
      <c r="F33" s="74" t="n">
        <v>94</v>
      </c>
      <c r="G33" s="74" t="s">
        <v>1109</v>
      </c>
      <c r="H33" s="74" t="s">
        <v>381</v>
      </c>
      <c r="I33" s="74" t="s">
        <v>217</v>
      </c>
    </row>
    <row r="34" customFormat="false" ht="39" hidden="false" customHeight="true" outlineLevel="0" collapsed="false">
      <c r="A34" s="85" t="n">
        <v>21</v>
      </c>
      <c r="B34" s="74" t="s">
        <v>1125</v>
      </c>
      <c r="C34" s="74" t="s">
        <v>108</v>
      </c>
      <c r="D34" s="89" t="n">
        <v>35</v>
      </c>
      <c r="E34" s="87" t="n">
        <v>1.26</v>
      </c>
      <c r="F34" s="74" t="n">
        <v>400</v>
      </c>
      <c r="G34" s="90" t="s">
        <v>1112</v>
      </c>
      <c r="H34" s="74" t="n">
        <v>75</v>
      </c>
      <c r="I34" s="74" t="s">
        <v>209</v>
      </c>
    </row>
    <row r="35" customFormat="false" ht="6" hidden="false" customHeight="true" outlineLevel="0" collapsed="false">
      <c r="A35" s="91"/>
      <c r="B35" s="92" t="s">
        <v>1126</v>
      </c>
      <c r="C35" s="92"/>
      <c r="D35" s="93" t="n">
        <f aca="false">AVERAGE(D14:D33)</f>
        <v>62.0052631578947</v>
      </c>
      <c r="E35" s="94" t="n">
        <f aca="false">AVERAGE(E14:E33)</f>
        <v>3.32526315789474</v>
      </c>
      <c r="F35" s="95" t="n">
        <f aca="false">AVERAGE(F14:F33)</f>
        <v>336.7</v>
      </c>
      <c r="G35" s="96" t="s">
        <v>1127</v>
      </c>
      <c r="H35" s="93" t="n">
        <f aca="false">AVERAGEIF(H14:H33,"&gt;0")</f>
        <v>81.13</v>
      </c>
      <c r="I35" s="97" t="s">
        <v>1128</v>
      </c>
    </row>
    <row r="36" customFormat="false" ht="24" hidden="false" customHeight="true" outlineLevel="0" collapsed="false">
      <c r="A36" s="98"/>
      <c r="B36" s="98"/>
      <c r="C36" s="98"/>
      <c r="D36" s="98"/>
      <c r="E36" s="98"/>
      <c r="F36" s="98"/>
      <c r="G36" s="98"/>
      <c r="H36" s="98"/>
      <c r="I36" s="98"/>
    </row>
    <row r="37" customFormat="false" ht="57.75" hidden="false" customHeight="true" outlineLevel="0" collapsed="false">
      <c r="A37" s="66" t="s">
        <v>1129</v>
      </c>
      <c r="B37" s="66"/>
      <c r="C37" s="66"/>
      <c r="D37" s="66"/>
      <c r="E37" s="66"/>
      <c r="F37" s="66"/>
      <c r="G37" s="66"/>
      <c r="H37" s="66"/>
      <c r="I37" s="66"/>
    </row>
    <row r="38" customFormat="false" ht="6" hidden="false" customHeight="true" outlineLevel="0" collapsed="false">
      <c r="A38" s="99" t="s">
        <v>1130</v>
      </c>
      <c r="B38" s="100"/>
      <c r="C38" s="100"/>
      <c r="D38" s="100"/>
      <c r="E38" s="100"/>
      <c r="F38" s="100"/>
      <c r="G38" s="100"/>
      <c r="H38" s="100"/>
      <c r="I38" s="101"/>
    </row>
    <row r="39" customFormat="false" ht="24" hidden="false" customHeight="true" outlineLevel="0" collapsed="false">
      <c r="A39" s="4"/>
      <c r="B39" s="5"/>
      <c r="C39" s="5"/>
      <c r="D39" s="5"/>
      <c r="E39" s="5"/>
      <c r="F39" s="5"/>
      <c r="G39" s="5"/>
      <c r="H39" s="5"/>
      <c r="I39" s="5"/>
    </row>
    <row r="40" customFormat="false" ht="26.25" hidden="false" customHeight="true" outlineLevel="0" collapsed="false">
      <c r="A40" s="102" t="s">
        <v>1131</v>
      </c>
      <c r="B40" s="103"/>
      <c r="C40" s="103"/>
      <c r="D40" s="103"/>
      <c r="E40" s="103"/>
      <c r="F40" s="103"/>
      <c r="G40" s="103"/>
      <c r="H40" s="103"/>
      <c r="I40" s="103"/>
    </row>
    <row r="41" customFormat="false" ht="42" hidden="false" customHeight="true" outlineLevel="0" collapsed="false">
      <c r="A41" s="104" t="s">
        <v>1132</v>
      </c>
      <c r="B41" s="104"/>
      <c r="C41" s="104"/>
      <c r="D41" s="104"/>
      <c r="E41" s="104"/>
      <c r="F41" s="104"/>
      <c r="G41" s="104"/>
      <c r="H41" s="104"/>
      <c r="I41" s="104"/>
    </row>
    <row r="42" customFormat="false" ht="6" hidden="false" customHeight="true" outlineLevel="0" collapsed="false">
      <c r="A42" s="105" t="s">
        <v>1133</v>
      </c>
    </row>
    <row r="43" customFormat="false" ht="27.75" hidden="false" customHeight="true" outlineLevel="0" collapsed="false">
      <c r="A43" s="106"/>
      <c r="B43" s="107"/>
      <c r="C43" s="108"/>
      <c r="D43" s="109"/>
      <c r="E43" s="110"/>
      <c r="F43" s="111"/>
      <c r="G43" s="112"/>
      <c r="H43" s="113"/>
      <c r="I43" s="113"/>
    </row>
    <row r="44" customFormat="false" ht="27.75" hidden="false" customHeight="true" outlineLevel="0" collapsed="false">
      <c r="A44" s="114" t="s">
        <v>1134</v>
      </c>
      <c r="B44" s="115" t="s">
        <v>7</v>
      </c>
      <c r="C44" s="116" t="s">
        <v>1135</v>
      </c>
      <c r="D44" s="117" t="s">
        <v>1136</v>
      </c>
      <c r="E44" s="118" t="s">
        <v>1137</v>
      </c>
      <c r="F44" s="119" t="s">
        <v>10</v>
      </c>
      <c r="G44" s="120" t="s">
        <v>11</v>
      </c>
      <c r="H44" s="121" t="s">
        <v>1138</v>
      </c>
      <c r="I44" s="121" t="s">
        <v>1139</v>
      </c>
    </row>
    <row r="45" customFormat="false" ht="27.75" hidden="false" customHeight="true" outlineLevel="0" collapsed="false">
      <c r="A45" s="122" t="s">
        <v>1140</v>
      </c>
      <c r="B45" s="123" t="n">
        <v>2.74</v>
      </c>
      <c r="C45" s="124" t="n">
        <v>85.3</v>
      </c>
      <c r="D45" s="125" t="n">
        <v>54</v>
      </c>
      <c r="E45" s="126" t="n">
        <v>0.21</v>
      </c>
      <c r="F45" s="127" t="n">
        <v>148</v>
      </c>
      <c r="G45" s="128" t="n">
        <v>2.8</v>
      </c>
      <c r="H45" s="129" t="s">
        <v>1141</v>
      </c>
      <c r="I45" s="129" t="s">
        <v>1142</v>
      </c>
    </row>
    <row r="46" customFormat="false" ht="27.75" hidden="false" customHeight="true" outlineLevel="0" collapsed="false">
      <c r="A46" s="122" t="s">
        <v>1143</v>
      </c>
      <c r="B46" s="123" t="n">
        <v>5.1</v>
      </c>
      <c r="C46" s="124" t="n">
        <v>80.3</v>
      </c>
      <c r="D46" s="125" t="n">
        <v>117</v>
      </c>
      <c r="E46" s="126" t="n">
        <v>0.45</v>
      </c>
      <c r="F46" s="127" t="n">
        <v>597</v>
      </c>
      <c r="G46" s="128" t="n">
        <v>11.5</v>
      </c>
      <c r="H46" s="129" t="s">
        <v>1144</v>
      </c>
      <c r="I46" s="129" t="s">
        <v>1145</v>
      </c>
    </row>
    <row r="47" customFormat="false" ht="27.75" hidden="false" customHeight="true" outlineLevel="0" collapsed="false">
      <c r="A47" s="130" t="s">
        <v>1146</v>
      </c>
      <c r="B47" s="131" t="n">
        <v>3.8</v>
      </c>
      <c r="C47" s="132" t="n">
        <v>73.6</v>
      </c>
      <c r="D47" s="133" t="n">
        <v>148</v>
      </c>
      <c r="E47" s="134" t="n">
        <v>0.57</v>
      </c>
      <c r="F47" s="135" t="n">
        <v>562</v>
      </c>
      <c r="G47" s="136" t="n">
        <v>10.8</v>
      </c>
      <c r="H47" s="132" t="s">
        <v>1147</v>
      </c>
      <c r="I47" s="132" t="s">
        <v>292</v>
      </c>
    </row>
    <row r="48" customFormat="false" ht="27.75" hidden="false" customHeight="true" outlineLevel="0" collapsed="false">
      <c r="A48" s="130" t="s">
        <v>1148</v>
      </c>
      <c r="B48" s="131" t="n">
        <v>2.54</v>
      </c>
      <c r="C48" s="132" t="n">
        <v>69.5</v>
      </c>
      <c r="D48" s="133" t="n">
        <v>233</v>
      </c>
      <c r="E48" s="134" t="n">
        <v>0.9</v>
      </c>
      <c r="F48" s="135" t="n">
        <v>592</v>
      </c>
      <c r="G48" s="136" t="n">
        <v>11.4</v>
      </c>
      <c r="H48" s="132" t="s">
        <v>1149</v>
      </c>
      <c r="I48" s="132" t="s">
        <v>1150</v>
      </c>
    </row>
    <row r="49" customFormat="false" ht="27.75" hidden="false" customHeight="true" outlineLevel="0" collapsed="false">
      <c r="A49" s="137" t="s">
        <v>1151</v>
      </c>
      <c r="B49" s="138" t="n">
        <v>1.59</v>
      </c>
      <c r="C49" s="139" t="s">
        <v>33</v>
      </c>
      <c r="D49" s="140" t="n">
        <v>1642</v>
      </c>
      <c r="E49" s="141" t="n">
        <v>6.4</v>
      </c>
      <c r="F49" s="142" t="n">
        <v>2604</v>
      </c>
      <c r="G49" s="143" t="n">
        <v>50.1</v>
      </c>
      <c r="H49" s="144" t="s">
        <v>24</v>
      </c>
      <c r="I49" s="139" t="s">
        <v>39</v>
      </c>
    </row>
    <row r="50" customFormat="false" ht="27.75" hidden="false" customHeight="true" outlineLevel="0" collapsed="false">
      <c r="A50" s="130" t="s">
        <v>1152</v>
      </c>
      <c r="B50" s="145" t="s">
        <v>1153</v>
      </c>
      <c r="C50" s="146" t="s">
        <v>1154</v>
      </c>
      <c r="D50" s="146" t="s">
        <v>1155</v>
      </c>
      <c r="E50" s="147" t="s">
        <v>1156</v>
      </c>
      <c r="F50" s="148" t="s">
        <v>1157</v>
      </c>
      <c r="G50" s="146" t="s">
        <v>1158</v>
      </c>
      <c r="H50" s="132" t="n">
        <v>65.3</v>
      </c>
      <c r="I50" s="132" t="n">
        <v>94.4</v>
      </c>
    </row>
    <row r="51" customFormat="false" ht="27.75" hidden="false" customHeight="true" outlineLevel="0" collapsed="false">
      <c r="A51" s="149" t="s">
        <v>1159</v>
      </c>
      <c r="B51" s="150" t="s">
        <v>1160</v>
      </c>
      <c r="C51" s="151" t="s">
        <v>1161</v>
      </c>
      <c r="D51" s="152" t="s">
        <v>1162</v>
      </c>
      <c r="E51" s="153" t="s">
        <v>1163</v>
      </c>
      <c r="F51" s="154" t="s">
        <v>1164</v>
      </c>
      <c r="G51" s="155" t="s">
        <v>1165</v>
      </c>
      <c r="H51" s="156" t="n">
        <v>68.4</v>
      </c>
      <c r="I51" s="156" t="n">
        <v>94.4</v>
      </c>
    </row>
    <row r="52" customFormat="false" ht="27.75" hidden="false" customHeight="true" outlineLevel="0" collapsed="false">
      <c r="A52" s="157" t="s">
        <v>1166</v>
      </c>
      <c r="B52" s="158" t="s">
        <v>1167</v>
      </c>
      <c r="C52" s="158" t="s">
        <v>50</v>
      </c>
      <c r="D52" s="158" t="s">
        <v>1168</v>
      </c>
      <c r="E52" s="158" t="s">
        <v>1169</v>
      </c>
      <c r="F52" s="158" t="s">
        <v>1170</v>
      </c>
      <c r="G52" s="158" t="s">
        <v>1171</v>
      </c>
      <c r="H52" s="158" t="s">
        <v>56</v>
      </c>
      <c r="I52" s="158" t="s">
        <v>57</v>
      </c>
    </row>
    <row r="53" customFormat="false" ht="6" hidden="false" customHeight="true" outlineLevel="0" collapsed="false">
      <c r="A53" s="159" t="s">
        <v>1172</v>
      </c>
      <c r="B53" s="160" t="n">
        <v>0.585</v>
      </c>
      <c r="C53" s="161" t="n">
        <v>26.5</v>
      </c>
      <c r="D53" s="162" t="n">
        <v>4991</v>
      </c>
      <c r="E53" s="163" t="n">
        <v>19.3</v>
      </c>
      <c r="F53" s="164" t="n">
        <v>2918</v>
      </c>
      <c r="G53" s="165" t="n">
        <v>56.1</v>
      </c>
      <c r="H53" s="166" t="s">
        <v>56</v>
      </c>
      <c r="I53" s="166" t="s">
        <v>57</v>
      </c>
    </row>
    <row r="54" customFormat="false" ht="24" hidden="false" customHeight="true" outlineLevel="0" collapsed="false">
      <c r="A54" s="83" t="s">
        <v>1173</v>
      </c>
      <c r="B54" s="84" t="s">
        <v>840</v>
      </c>
      <c r="C54" s="84" t="s">
        <v>839</v>
      </c>
      <c r="D54" s="84" t="n">
        <v>290</v>
      </c>
      <c r="E54" s="84" t="n">
        <v>1.12</v>
      </c>
      <c r="F54" s="84" t="s">
        <v>1174</v>
      </c>
      <c r="G54" s="84" t="s">
        <v>1175</v>
      </c>
      <c r="H54" s="84" t="s">
        <v>1176</v>
      </c>
      <c r="I54" s="84" t="s">
        <v>1177</v>
      </c>
    </row>
    <row r="55" customFormat="false" ht="53.25" hidden="false" customHeight="true" outlineLevel="0" collapsed="false">
      <c r="A55" s="167" t="s">
        <v>1178</v>
      </c>
      <c r="B55" s="167"/>
      <c r="C55" s="167"/>
      <c r="D55" s="167"/>
      <c r="E55" s="167"/>
      <c r="F55" s="167"/>
      <c r="G55" s="167"/>
      <c r="H55" s="167"/>
      <c r="I55" s="167"/>
    </row>
    <row r="56" customFormat="false" ht="51.75" hidden="false" customHeight="true" outlineLevel="0" collapsed="false">
      <c r="A56" s="106"/>
      <c r="B56" s="168"/>
      <c r="C56" s="168"/>
      <c r="D56" s="168"/>
      <c r="E56" s="168"/>
      <c r="F56" s="168"/>
      <c r="G56" s="168"/>
      <c r="H56" s="168"/>
      <c r="I56" s="168"/>
    </row>
    <row r="57" customFormat="false" ht="63" hidden="false" customHeight="true" outlineLevel="0" collapsed="false">
      <c r="A57" s="102" t="s">
        <v>1179</v>
      </c>
      <c r="B57" s="169"/>
      <c r="C57" s="169"/>
      <c r="D57" s="169"/>
      <c r="E57" s="169"/>
      <c r="F57" s="169"/>
      <c r="G57" s="169"/>
      <c r="H57" s="169"/>
      <c r="I57" s="169"/>
    </row>
    <row r="58" customFormat="false" ht="51.75" hidden="false" customHeight="true" outlineLevel="0" collapsed="false">
      <c r="A58" s="159" t="s">
        <v>1180</v>
      </c>
      <c r="B58" s="170" t="s">
        <v>1181</v>
      </c>
      <c r="C58" s="170"/>
      <c r="D58" s="170"/>
      <c r="E58" s="170"/>
      <c r="F58" s="170"/>
      <c r="G58" s="170"/>
      <c r="H58" s="170"/>
      <c r="I58" s="170"/>
    </row>
    <row r="59" customFormat="false" ht="6" hidden="false" customHeight="true" outlineLevel="0" collapsed="false">
      <c r="A59" s="171" t="s">
        <v>1182</v>
      </c>
      <c r="B59" s="172" t="s">
        <v>1183</v>
      </c>
      <c r="C59" s="173"/>
      <c r="D59" s="173"/>
      <c r="E59" s="173"/>
      <c r="F59" s="173"/>
      <c r="G59" s="173"/>
      <c r="H59" s="173"/>
      <c r="I59" s="173"/>
    </row>
    <row r="60" customFormat="false" ht="6" hidden="false" customHeight="true" outlineLevel="0" collapsed="false">
      <c r="A60" s="130" t="s">
        <v>1184</v>
      </c>
      <c r="B60" s="174" t="s">
        <v>1185</v>
      </c>
      <c r="C60" s="173"/>
      <c r="D60" s="173"/>
      <c r="E60" s="173"/>
      <c r="F60" s="173"/>
      <c r="G60" s="173"/>
      <c r="H60" s="173"/>
      <c r="I60" s="173"/>
    </row>
    <row r="61" customFormat="false" ht="6" hidden="false" customHeight="true" outlineLevel="0" collapsed="false">
      <c r="A61" s="149" t="s">
        <v>1186</v>
      </c>
      <c r="B61" s="175" t="s">
        <v>1187</v>
      </c>
      <c r="C61" s="173"/>
      <c r="D61" s="173"/>
      <c r="E61" s="173"/>
      <c r="F61" s="173"/>
      <c r="G61" s="173"/>
      <c r="H61" s="173"/>
      <c r="I61" s="173"/>
    </row>
    <row r="62" customFormat="false" ht="24" hidden="false" customHeight="true" outlineLevel="0" collapsed="false">
      <c r="A62" s="176"/>
      <c r="B62" s="176"/>
      <c r="C62" s="176"/>
      <c r="D62" s="176"/>
      <c r="E62" s="176"/>
      <c r="F62" s="176"/>
      <c r="G62" s="176"/>
      <c r="H62" s="176"/>
      <c r="I62" s="176"/>
    </row>
    <row r="63" customFormat="false" ht="25.5" hidden="false" customHeight="true" outlineLevel="0" collapsed="false">
      <c r="A63" s="177"/>
      <c r="B63" s="178"/>
      <c r="C63" s="5"/>
      <c r="D63" s="5"/>
      <c r="E63" s="5"/>
      <c r="F63" s="5"/>
      <c r="G63" s="5"/>
      <c r="H63" s="5"/>
      <c r="I63" s="5"/>
    </row>
    <row r="64" customFormat="false" ht="24" hidden="false" customHeight="true" outlineLevel="0" collapsed="false">
      <c r="A64" s="179"/>
      <c r="B64" s="179"/>
      <c r="C64" s="179"/>
      <c r="D64" s="179"/>
      <c r="E64" s="179"/>
      <c r="F64" s="179"/>
      <c r="G64" s="179"/>
      <c r="H64" s="179"/>
      <c r="I64" s="179"/>
    </row>
    <row r="65" customFormat="false" ht="24" hidden="false" customHeight="true" outlineLevel="0" collapsed="false">
      <c r="A65" s="6" t="s">
        <v>1188</v>
      </c>
      <c r="B65" s="6"/>
      <c r="C65" s="6"/>
      <c r="D65" s="6"/>
      <c r="E65" s="6"/>
      <c r="F65" s="6"/>
      <c r="G65" s="6"/>
      <c r="H65" s="6"/>
      <c r="I65" s="6"/>
    </row>
    <row r="66" customFormat="false" ht="24" hidden="false" customHeight="true" outlineLevel="0" collapsed="false">
      <c r="A66" s="180" t="s">
        <v>1189</v>
      </c>
      <c r="B66" s="180"/>
      <c r="C66" s="180"/>
      <c r="D66" s="180"/>
      <c r="E66" s="180"/>
      <c r="F66" s="180"/>
      <c r="G66" s="180"/>
      <c r="H66" s="180"/>
      <c r="I66" s="180"/>
    </row>
    <row r="67" customFormat="false" ht="24" hidden="false" customHeight="true" outlineLevel="0" collapsed="false">
      <c r="A67" s="181" t="s">
        <v>108</v>
      </c>
      <c r="B67" s="181"/>
      <c r="C67" s="181"/>
      <c r="D67" s="181"/>
      <c r="E67" s="181"/>
      <c r="F67" s="181"/>
      <c r="G67" s="181"/>
      <c r="H67" s="181"/>
      <c r="I67" s="181"/>
    </row>
    <row r="68" customFormat="false" ht="27.75" hidden="false" customHeight="true" outlineLevel="0" collapsed="false">
      <c r="A68" s="181" t="s">
        <v>111</v>
      </c>
      <c r="B68" s="181"/>
      <c r="C68" s="181"/>
      <c r="D68" s="181"/>
      <c r="E68" s="181"/>
      <c r="F68" s="181"/>
      <c r="G68" s="181"/>
      <c r="H68" s="181"/>
      <c r="I68" s="181"/>
    </row>
    <row r="69" customFormat="false" ht="6" hidden="false" customHeight="true" outlineLevel="0" collapsed="false">
      <c r="A69" s="181" t="s">
        <v>114</v>
      </c>
      <c r="B69" s="173"/>
      <c r="C69" s="173"/>
      <c r="D69" s="173"/>
      <c r="E69" s="173"/>
      <c r="F69" s="173"/>
      <c r="G69" s="173"/>
      <c r="H69" s="173"/>
      <c r="I69" s="173"/>
    </row>
    <row r="70" customFormat="false" ht="6" hidden="false" customHeight="true" outlineLevel="0" collapsed="false">
      <c r="A70" s="182" t="s">
        <v>252</v>
      </c>
      <c r="B70" s="173"/>
      <c r="C70" s="173"/>
      <c r="D70" s="173"/>
      <c r="E70" s="173"/>
      <c r="F70" s="173"/>
      <c r="G70" s="173"/>
      <c r="H70" s="173"/>
      <c r="I70" s="173"/>
    </row>
    <row r="71" customFormat="false" ht="18" hidden="false" customHeight="true" outlineLevel="0" collapsed="false">
      <c r="A71" s="183" t="s">
        <v>1190</v>
      </c>
    </row>
    <row r="72" customFormat="false" ht="49.5" hidden="false" customHeight="true" outlineLevel="0" collapsed="false">
      <c r="A72" s="184"/>
      <c r="B72" s="184"/>
      <c r="C72" s="184"/>
      <c r="D72" s="184"/>
      <c r="E72" s="184"/>
      <c r="F72" s="184"/>
      <c r="G72" s="184"/>
      <c r="H72" s="184"/>
      <c r="I72" s="184"/>
    </row>
    <row r="73" customFormat="false" ht="6" hidden="false" customHeight="true" outlineLevel="0" collapsed="false">
      <c r="A73" s="4"/>
      <c r="B73" s="5"/>
      <c r="C73" s="5"/>
      <c r="D73" s="5"/>
      <c r="E73" s="5"/>
      <c r="F73" s="5"/>
      <c r="G73" s="5"/>
      <c r="H73" s="5"/>
      <c r="I73" s="5"/>
    </row>
    <row r="74" customFormat="false" ht="36" hidden="false" customHeight="true" outlineLevel="0" collapsed="false">
      <c r="A74" s="104" t="s">
        <v>1191</v>
      </c>
      <c r="B74" s="104"/>
      <c r="C74" s="104"/>
      <c r="D74" s="104"/>
      <c r="E74" s="104"/>
      <c r="F74" s="104"/>
      <c r="G74" s="104"/>
      <c r="H74" s="104"/>
      <c r="I74" s="104"/>
    </row>
    <row r="75" customFormat="false" ht="36" hidden="false" customHeight="true" outlineLevel="0" collapsed="false">
      <c r="A75" s="185" t="s">
        <v>1192</v>
      </c>
      <c r="B75" s="185"/>
      <c r="C75" s="185"/>
      <c r="D75" s="185"/>
      <c r="E75" s="185"/>
      <c r="F75" s="185"/>
      <c r="G75" s="185"/>
      <c r="H75" s="185"/>
      <c r="I75" s="185"/>
    </row>
    <row r="76" customFormat="false" ht="36" hidden="false" customHeight="true" outlineLevel="0" collapsed="false">
      <c r="A76" s="179"/>
      <c r="B76" s="179"/>
      <c r="C76" s="179"/>
      <c r="D76" s="179"/>
      <c r="E76" s="179"/>
      <c r="F76" s="179"/>
      <c r="G76" s="179"/>
      <c r="H76" s="179"/>
      <c r="I76" s="179"/>
    </row>
    <row r="77" customFormat="false" ht="36" hidden="false" customHeight="true" outlineLevel="0" collapsed="false">
      <c r="A77" s="186" t="s">
        <v>1193</v>
      </c>
      <c r="B77" s="186"/>
      <c r="C77" s="186"/>
      <c r="D77" s="186"/>
      <c r="E77" s="186"/>
      <c r="F77" s="186"/>
      <c r="G77" s="186"/>
      <c r="H77" s="186"/>
      <c r="I77" s="186"/>
    </row>
    <row r="78" customFormat="false" ht="6" hidden="false" customHeight="true" outlineLevel="0" collapsed="false">
      <c r="A78" s="183" t="s">
        <v>1194</v>
      </c>
    </row>
    <row r="79" customFormat="false" ht="6" hidden="false" customHeight="true" outlineLevel="0" collapsed="false">
      <c r="A79" s="183" t="s">
        <v>1195</v>
      </c>
    </row>
    <row r="80" customFormat="false" ht="24" hidden="false" customHeight="true" outlineLevel="0" collapsed="false">
      <c r="A80" s="183" t="s">
        <v>1196</v>
      </c>
    </row>
    <row r="81" customFormat="false" ht="36" hidden="false" customHeight="true" outlineLevel="0" collapsed="false">
      <c r="A81" s="179"/>
      <c r="B81" s="179"/>
      <c r="C81" s="179"/>
      <c r="D81" s="179"/>
      <c r="E81" s="179"/>
      <c r="F81" s="179"/>
      <c r="G81" s="179"/>
      <c r="H81" s="179"/>
      <c r="I81" s="179"/>
    </row>
    <row r="82" customFormat="false" ht="24" hidden="false" customHeight="true" outlineLevel="0" collapsed="false">
      <c r="A82" s="106"/>
      <c r="B82" s="113"/>
      <c r="C82" s="113"/>
      <c r="D82" s="113"/>
      <c r="E82" s="113"/>
      <c r="F82" s="113"/>
      <c r="G82" s="113"/>
      <c r="H82" s="113"/>
      <c r="I82" s="113"/>
    </row>
    <row r="83" customFormat="false" ht="18" hidden="false" customHeight="true" outlineLevel="0" collapsed="false">
      <c r="A83" s="102" t="s">
        <v>1197</v>
      </c>
      <c r="B83" s="103"/>
      <c r="C83" s="103"/>
      <c r="D83" s="103"/>
      <c r="E83" s="103"/>
      <c r="F83" s="103"/>
      <c r="G83" s="103"/>
      <c r="H83" s="103"/>
      <c r="I83" s="103"/>
    </row>
    <row r="84" customFormat="false" ht="18" hidden="false" customHeight="true" outlineLevel="0" collapsed="false">
      <c r="A84" s="183" t="s">
        <v>1198</v>
      </c>
    </row>
    <row r="85" customFormat="false" ht="24" hidden="false" customHeight="true" outlineLevel="0" collapsed="false">
      <c r="A85" s="187" t="s">
        <v>1199</v>
      </c>
      <c r="B85" s="187"/>
      <c r="C85" s="187"/>
      <c r="D85" s="187"/>
      <c r="E85" s="187"/>
      <c r="F85" s="187"/>
      <c r="G85" s="187"/>
      <c r="H85" s="187"/>
      <c r="I85" s="187"/>
    </row>
    <row r="86" customFormat="false" ht="27.75" hidden="false" customHeight="true" outlineLevel="0" collapsed="false">
      <c r="A86" s="114" t="s">
        <v>150</v>
      </c>
      <c r="B86" s="121" t="s">
        <v>290</v>
      </c>
      <c r="C86" s="121" t="s">
        <v>6</v>
      </c>
      <c r="D86" s="121" t="s">
        <v>7</v>
      </c>
      <c r="E86" s="121" t="s">
        <v>241</v>
      </c>
      <c r="F86" s="121" t="s">
        <v>8</v>
      </c>
      <c r="G86" s="121" t="s">
        <v>10</v>
      </c>
      <c r="H86" s="121" t="s">
        <v>11</v>
      </c>
      <c r="I86" s="121" t="s">
        <v>242</v>
      </c>
    </row>
    <row r="87" customFormat="false" ht="24.75" hidden="false" customHeight="true" outlineLevel="0" collapsed="false">
      <c r="A87" s="83" t="n">
        <v>1</v>
      </c>
      <c r="B87" s="84" t="s">
        <v>1200</v>
      </c>
      <c r="C87" s="84" t="s">
        <v>598</v>
      </c>
      <c r="D87" s="84" t="s">
        <v>1100</v>
      </c>
      <c r="E87" s="84" t="n">
        <v>33</v>
      </c>
      <c r="F87" s="84" t="n">
        <v>33</v>
      </c>
      <c r="G87" s="84" t="n">
        <v>216</v>
      </c>
      <c r="H87" s="84" t="n">
        <v>4.2</v>
      </c>
      <c r="I87" s="84" t="s">
        <v>1102</v>
      </c>
    </row>
    <row r="88" customFormat="false" ht="24.75" hidden="false" customHeight="true" outlineLevel="0" collapsed="false">
      <c r="A88" s="188" t="n">
        <v>2</v>
      </c>
      <c r="B88" s="189" t="s">
        <v>291</v>
      </c>
      <c r="C88" s="124" t="n">
        <v>87.5</v>
      </c>
      <c r="D88" s="123" t="n">
        <v>5.24</v>
      </c>
      <c r="E88" s="129" t="n">
        <v>8</v>
      </c>
      <c r="F88" s="129" t="n">
        <v>8</v>
      </c>
      <c r="G88" s="127" t="n">
        <v>42</v>
      </c>
      <c r="H88" s="128" t="n">
        <v>0.8</v>
      </c>
      <c r="I88" s="129" t="s">
        <v>205</v>
      </c>
    </row>
    <row r="89" customFormat="false" ht="24.75" hidden="false" customHeight="true" outlineLevel="0" collapsed="false">
      <c r="A89" s="190" t="n">
        <v>3</v>
      </c>
      <c r="B89" s="173"/>
      <c r="C89" s="173"/>
      <c r="D89" s="173"/>
      <c r="E89" s="173"/>
      <c r="F89" s="173"/>
      <c r="G89" s="173"/>
      <c r="H89" s="173"/>
      <c r="I89" s="173"/>
    </row>
    <row r="90" customFormat="false" ht="27.75" hidden="false" customHeight="true" outlineLevel="0" collapsed="false">
      <c r="A90" s="188" t="n">
        <v>4</v>
      </c>
      <c r="B90" s="189" t="s">
        <v>1201</v>
      </c>
      <c r="C90" s="124" t="n">
        <v>84.6</v>
      </c>
      <c r="D90" s="123" t="n">
        <v>2.82</v>
      </c>
      <c r="E90" s="129" t="n">
        <v>26</v>
      </c>
      <c r="F90" s="129" t="n">
        <v>26</v>
      </c>
      <c r="G90" s="127" t="n">
        <v>73</v>
      </c>
      <c r="H90" s="128" t="n">
        <v>1.4</v>
      </c>
      <c r="I90" s="129" t="s">
        <v>300</v>
      </c>
    </row>
    <row r="91" customFormat="false" ht="21.75" hidden="false" customHeight="true" outlineLevel="0" collapsed="false">
      <c r="A91" s="188" t="n">
        <v>5</v>
      </c>
      <c r="B91" s="189" t="s">
        <v>301</v>
      </c>
      <c r="C91" s="124" t="n">
        <v>83.9</v>
      </c>
      <c r="D91" s="123" t="n">
        <v>6.15</v>
      </c>
      <c r="E91" s="129" t="n">
        <v>31</v>
      </c>
      <c r="F91" s="129" t="n">
        <v>31</v>
      </c>
      <c r="G91" s="127" t="n">
        <v>191</v>
      </c>
      <c r="H91" s="128" t="n">
        <v>3.7</v>
      </c>
      <c r="I91" s="129" t="s">
        <v>304</v>
      </c>
    </row>
    <row r="92" customFormat="false" ht="42.75" hidden="false" customHeight="true" outlineLevel="0" collapsed="false">
      <c r="A92" s="188" t="n">
        <v>6</v>
      </c>
      <c r="B92" s="189" t="s">
        <v>1202</v>
      </c>
      <c r="C92" s="124" t="n">
        <v>80.3</v>
      </c>
      <c r="D92" s="123" t="n">
        <v>5.1</v>
      </c>
      <c r="E92" s="129" t="n">
        <v>117</v>
      </c>
      <c r="F92" s="129" t="n">
        <v>117</v>
      </c>
      <c r="G92" s="127" t="n">
        <v>597</v>
      </c>
      <c r="H92" s="128" t="n">
        <v>11.5</v>
      </c>
      <c r="I92" s="129" t="s">
        <v>231</v>
      </c>
    </row>
    <row r="93" customFormat="false" ht="6" hidden="false" customHeight="true" outlineLevel="0" collapsed="false">
      <c r="A93" s="188" t="n">
        <v>7</v>
      </c>
      <c r="B93" s="189" t="s">
        <v>1203</v>
      </c>
      <c r="C93" s="124" t="n">
        <v>79.8</v>
      </c>
      <c r="D93" s="123" t="n">
        <v>2.72</v>
      </c>
      <c r="E93" s="129" t="n">
        <v>109</v>
      </c>
      <c r="F93" s="129" t="n">
        <v>109</v>
      </c>
      <c r="G93" s="127" t="n">
        <v>296</v>
      </c>
      <c r="H93" s="128" t="n">
        <v>5.7</v>
      </c>
      <c r="I93" s="129" t="s">
        <v>231</v>
      </c>
    </row>
    <row r="94" customFormat="false" ht="24" hidden="false" customHeight="true" outlineLevel="0" collapsed="false">
      <c r="A94" s="191" t="n">
        <v>8</v>
      </c>
      <c r="B94" s="191"/>
      <c r="C94" s="191"/>
      <c r="D94" s="191"/>
      <c r="E94" s="191"/>
      <c r="F94" s="191"/>
      <c r="G94" s="191"/>
      <c r="H94" s="191"/>
      <c r="I94" s="191"/>
    </row>
    <row r="95" customFormat="false" ht="36" hidden="false" customHeight="true" outlineLevel="0" collapsed="false">
      <c r="A95" s="191" t="n">
        <v>9</v>
      </c>
      <c r="B95" s="191"/>
      <c r="C95" s="191"/>
      <c r="D95" s="191"/>
      <c r="E95" s="191"/>
      <c r="F95" s="191"/>
      <c r="G95" s="191"/>
      <c r="H95" s="191"/>
      <c r="I95" s="191"/>
    </row>
    <row r="96" customFormat="false" ht="42" hidden="false" customHeight="true" outlineLevel="0" collapsed="false">
      <c r="A96" s="191" t="n">
        <v>10</v>
      </c>
      <c r="B96" s="192" t="s">
        <v>312</v>
      </c>
      <c r="C96" s="132" t="n">
        <v>75</v>
      </c>
      <c r="D96" s="131" t="n">
        <v>3.12</v>
      </c>
      <c r="E96" s="193" t="n">
        <v>16</v>
      </c>
      <c r="F96" s="193" t="n">
        <v>16</v>
      </c>
      <c r="G96" s="135" t="n">
        <v>50</v>
      </c>
      <c r="H96" s="136" t="n">
        <v>1</v>
      </c>
      <c r="I96" s="193" t="s">
        <v>198</v>
      </c>
    </row>
    <row r="97" customFormat="false" ht="42" hidden="false" customHeight="true" outlineLevel="0" collapsed="false">
      <c r="A97" s="4"/>
      <c r="B97" s="5"/>
      <c r="C97" s="5"/>
      <c r="D97" s="5"/>
      <c r="E97" s="5"/>
      <c r="F97" s="5"/>
      <c r="G97" s="5"/>
      <c r="H97" s="5"/>
      <c r="I97" s="5"/>
    </row>
    <row r="98" customFormat="false" ht="42" hidden="false" customHeight="true" outlineLevel="0" collapsed="false">
      <c r="A98" s="194" t="s">
        <v>1204</v>
      </c>
    </row>
    <row r="99" customFormat="false" ht="42" hidden="false" customHeight="true" outlineLevel="0" collapsed="false">
      <c r="A99" s="183" t="s">
        <v>1205</v>
      </c>
    </row>
    <row r="100" customFormat="false" ht="42" hidden="false" customHeight="true" outlineLevel="0" collapsed="false">
      <c r="A100" s="195" t="s">
        <v>150</v>
      </c>
      <c r="B100" s="196" t="s">
        <v>290</v>
      </c>
      <c r="C100" s="196" t="s">
        <v>6</v>
      </c>
      <c r="D100" s="196" t="s">
        <v>7</v>
      </c>
      <c r="E100" s="196" t="s">
        <v>241</v>
      </c>
      <c r="F100" s="196" t="s">
        <v>8</v>
      </c>
      <c r="G100" s="196" t="s">
        <v>10</v>
      </c>
      <c r="H100" s="196" t="s">
        <v>11</v>
      </c>
      <c r="I100" s="196" t="s">
        <v>242</v>
      </c>
    </row>
    <row r="101" customFormat="false" ht="42" hidden="false" customHeight="true" outlineLevel="0" collapsed="false">
      <c r="A101" s="191" t="s">
        <v>243</v>
      </c>
      <c r="B101" s="192" t="s">
        <v>1206</v>
      </c>
      <c r="C101" s="132" t="n">
        <v>80.3</v>
      </c>
      <c r="D101" s="131" t="n">
        <v>5.1</v>
      </c>
      <c r="E101" s="193" t="n">
        <v>117</v>
      </c>
      <c r="F101" s="193" t="n">
        <v>117</v>
      </c>
      <c r="G101" s="135" t="n">
        <v>597</v>
      </c>
      <c r="H101" s="136" t="n">
        <v>11.5</v>
      </c>
      <c r="I101" s="193" t="s">
        <v>231</v>
      </c>
    </row>
    <row r="102" customFormat="false" ht="6" hidden="false" customHeight="true" outlineLevel="0" collapsed="false">
      <c r="A102" s="191" t="s">
        <v>247</v>
      </c>
      <c r="B102" s="192" t="s">
        <v>1110</v>
      </c>
      <c r="C102" s="132" t="n">
        <v>79.8</v>
      </c>
      <c r="D102" s="131" t="n">
        <v>2.72</v>
      </c>
      <c r="E102" s="193" t="n">
        <v>109</v>
      </c>
      <c r="F102" s="193" t="n">
        <v>109</v>
      </c>
      <c r="G102" s="135" t="n">
        <v>296</v>
      </c>
      <c r="H102" s="136" t="n">
        <v>5.7</v>
      </c>
      <c r="I102" s="193" t="s">
        <v>231</v>
      </c>
    </row>
    <row r="103" customFormat="false" ht="24" hidden="false" customHeight="true" outlineLevel="0" collapsed="false">
      <c r="A103" s="191" t="s">
        <v>275</v>
      </c>
      <c r="B103" s="192" t="s">
        <v>301</v>
      </c>
      <c r="C103" s="132" t="n">
        <v>83.9</v>
      </c>
      <c r="D103" s="131" t="n">
        <v>6.15</v>
      </c>
      <c r="E103" s="193" t="n">
        <v>31</v>
      </c>
      <c r="F103" s="193" t="n">
        <v>31</v>
      </c>
      <c r="G103" s="135" t="n">
        <v>191</v>
      </c>
      <c r="H103" s="136" t="n">
        <v>3.7</v>
      </c>
      <c r="I103" s="193" t="s">
        <v>304</v>
      </c>
    </row>
    <row r="104" customFormat="false" ht="36" hidden="false" customHeight="true" outlineLevel="0" collapsed="false">
      <c r="A104" s="197" t="s">
        <v>251</v>
      </c>
      <c r="B104" s="197"/>
      <c r="C104" s="197"/>
      <c r="D104" s="197"/>
      <c r="E104" s="197"/>
      <c r="F104" s="197"/>
      <c r="G104" s="197"/>
      <c r="H104" s="197"/>
      <c r="I104" s="197"/>
    </row>
    <row r="105" customFormat="false" ht="37.5" hidden="false" customHeight="true" outlineLevel="0" collapsed="false">
      <c r="A105" s="198"/>
      <c r="B105" s="199" t="s">
        <v>1207</v>
      </c>
      <c r="C105" s="199"/>
      <c r="D105" s="199"/>
      <c r="E105" s="199"/>
      <c r="F105" s="199"/>
      <c r="G105" s="199"/>
      <c r="H105" s="199"/>
      <c r="I105" s="199"/>
    </row>
    <row r="106" customFormat="false" ht="37.5" hidden="false" customHeight="true" outlineLevel="0" collapsed="false">
      <c r="A106" s="4"/>
      <c r="B106" s="200"/>
      <c r="C106" s="200"/>
      <c r="D106" s="200"/>
      <c r="E106" s="200"/>
      <c r="F106" s="200"/>
      <c r="G106" s="200"/>
      <c r="H106" s="200"/>
      <c r="I106" s="200"/>
    </row>
    <row r="107" customFormat="false" ht="37.5" hidden="false" customHeight="true" outlineLevel="0" collapsed="false">
      <c r="A107" s="102" t="s">
        <v>386</v>
      </c>
      <c r="B107" s="201"/>
      <c r="C107" s="201"/>
      <c r="D107" s="201"/>
      <c r="E107" s="201"/>
      <c r="F107" s="201"/>
      <c r="G107" s="201"/>
      <c r="H107" s="201"/>
      <c r="I107" s="201"/>
    </row>
    <row r="108" customFormat="false" ht="37.5" hidden="false" customHeight="true" outlineLevel="0" collapsed="false">
      <c r="A108" s="183" t="s">
        <v>1208</v>
      </c>
      <c r="B108" s="202"/>
      <c r="C108" s="202"/>
      <c r="D108" s="202"/>
      <c r="E108" s="202"/>
      <c r="F108" s="202"/>
      <c r="G108" s="202"/>
      <c r="H108" s="202"/>
      <c r="I108" s="202"/>
    </row>
    <row r="109" customFormat="false" ht="84.75" hidden="false" customHeight="true" outlineLevel="0" collapsed="false">
      <c r="A109" s="203" t="s">
        <v>388</v>
      </c>
      <c r="B109" s="204" t="s">
        <v>389</v>
      </c>
    </row>
    <row r="110" customFormat="false" ht="21.75" hidden="false" customHeight="true" outlineLevel="0" collapsed="false">
      <c r="A110" s="205" t="s">
        <v>396</v>
      </c>
      <c r="B110" s="205"/>
      <c r="C110" s="205"/>
      <c r="D110" s="205"/>
      <c r="E110" s="205"/>
      <c r="F110" s="205"/>
      <c r="G110" s="205"/>
      <c r="H110" s="205"/>
      <c r="I110" s="205"/>
    </row>
    <row r="111" customFormat="false" ht="21.75" hidden="false" customHeight="true" outlineLevel="0" collapsed="false">
      <c r="A111" s="205" t="s">
        <v>396</v>
      </c>
      <c r="B111" s="205"/>
      <c r="C111" s="205"/>
      <c r="D111" s="205"/>
      <c r="E111" s="205"/>
      <c r="F111" s="205"/>
      <c r="G111" s="205"/>
      <c r="H111" s="205"/>
      <c r="I111" s="205"/>
    </row>
    <row r="112" customFormat="false" ht="21.75" hidden="false" customHeight="true" outlineLevel="0" collapsed="false">
      <c r="A112" s="206" t="s">
        <v>407</v>
      </c>
      <c r="B112" s="206"/>
      <c r="C112" s="206"/>
      <c r="D112" s="206"/>
      <c r="E112" s="206"/>
      <c r="F112" s="206"/>
      <c r="G112" s="206"/>
      <c r="H112" s="206"/>
      <c r="I112" s="206"/>
    </row>
    <row r="113" customFormat="false" ht="6" hidden="false" customHeight="true" outlineLevel="0" collapsed="false">
      <c r="A113" s="206" t="s">
        <v>407</v>
      </c>
      <c r="B113" s="206"/>
      <c r="C113" s="206"/>
      <c r="D113" s="206"/>
      <c r="E113" s="206"/>
      <c r="F113" s="206"/>
      <c r="G113" s="206"/>
      <c r="H113" s="206"/>
      <c r="I113" s="206"/>
    </row>
    <row r="114" customFormat="false" ht="24" hidden="false" customHeight="true" outlineLevel="0" collapsed="false">
      <c r="A114" s="207" t="s">
        <v>407</v>
      </c>
      <c r="B114" s="207"/>
      <c r="C114" s="207"/>
      <c r="D114" s="207"/>
      <c r="E114" s="207"/>
      <c r="F114" s="207"/>
      <c r="G114" s="207"/>
      <c r="H114" s="207"/>
      <c r="I114" s="207"/>
    </row>
    <row r="115" customFormat="false" ht="168" hidden="false" customHeight="true" outlineLevel="0" collapsed="false">
      <c r="A115" s="208" t="s">
        <v>420</v>
      </c>
      <c r="B115" s="173"/>
      <c r="C115" s="173"/>
      <c r="D115" s="173"/>
      <c r="E115" s="173"/>
      <c r="F115" s="173"/>
      <c r="G115" s="173"/>
      <c r="H115" s="173"/>
      <c r="I115" s="173"/>
    </row>
    <row r="116" customFormat="false" ht="168" hidden="false" customHeight="true" outlineLevel="0" collapsed="false">
      <c r="A116" s="208" t="s">
        <v>420</v>
      </c>
      <c r="B116" s="173"/>
      <c r="C116" s="173"/>
      <c r="D116" s="173"/>
      <c r="E116" s="173"/>
      <c r="F116" s="173"/>
      <c r="G116" s="173"/>
      <c r="H116" s="173"/>
      <c r="I116" s="173"/>
    </row>
    <row r="117" customFormat="false" ht="157.5" hidden="false" customHeight="true" outlineLevel="0" collapsed="false">
      <c r="A117" s="209"/>
      <c r="B117" s="202"/>
      <c r="C117" s="202"/>
      <c r="D117" s="202"/>
      <c r="E117" s="202"/>
      <c r="F117" s="202"/>
      <c r="G117" s="202"/>
      <c r="H117" s="202"/>
      <c r="I117" s="202"/>
    </row>
    <row r="118" customFormat="false" ht="199.5" hidden="false" customHeight="true" outlineLevel="0" collapsed="false">
      <c r="A118" s="194" t="s">
        <v>1209</v>
      </c>
      <c r="B118" s="202"/>
      <c r="C118" s="202"/>
      <c r="D118" s="202"/>
      <c r="E118" s="202"/>
      <c r="F118" s="202"/>
      <c r="G118" s="202"/>
      <c r="H118" s="202"/>
      <c r="I118" s="202"/>
    </row>
    <row r="119" customFormat="false" ht="6" hidden="false" customHeight="true" outlineLevel="0" collapsed="false">
      <c r="A119" s="130" t="s">
        <v>1210</v>
      </c>
      <c r="B119" s="174" t="s">
        <v>1211</v>
      </c>
      <c r="C119" s="173"/>
      <c r="D119" s="173"/>
      <c r="E119" s="173"/>
      <c r="F119" s="173"/>
      <c r="G119" s="173"/>
      <c r="H119" s="173"/>
      <c r="I119" s="173"/>
    </row>
    <row r="120" customFormat="false" ht="27.75" hidden="false" customHeight="true" outlineLevel="0" collapsed="false">
      <c r="A120" s="149" t="s">
        <v>1212</v>
      </c>
      <c r="B120" s="149"/>
      <c r="C120" s="149"/>
      <c r="D120" s="149"/>
      <c r="E120" s="149"/>
      <c r="F120" s="149"/>
      <c r="G120" s="149"/>
      <c r="H120" s="149"/>
      <c r="I120" s="149"/>
    </row>
    <row r="121" customFormat="false" ht="36" hidden="false" customHeight="true" outlineLevel="0" collapsed="false">
      <c r="A121" s="149" t="s">
        <v>1213</v>
      </c>
      <c r="B121" s="149"/>
      <c r="C121" s="149"/>
      <c r="D121" s="149"/>
      <c r="E121" s="149"/>
      <c r="F121" s="149"/>
      <c r="G121" s="149"/>
      <c r="H121" s="149"/>
      <c r="I121" s="149"/>
    </row>
    <row r="122" customFormat="false" ht="36" hidden="false" customHeight="true" outlineLevel="0" collapsed="false">
      <c r="A122" s="159" t="s">
        <v>1214</v>
      </c>
      <c r="B122" s="159"/>
      <c r="C122" s="159"/>
      <c r="D122" s="159"/>
      <c r="E122" s="159"/>
      <c r="F122" s="159"/>
      <c r="G122" s="159"/>
      <c r="H122" s="159"/>
      <c r="I122" s="159"/>
    </row>
    <row r="123" customFormat="false" ht="36" hidden="false" customHeight="true" outlineLevel="0" collapsed="false">
      <c r="A123" s="98"/>
      <c r="B123" s="98"/>
      <c r="C123" s="98"/>
      <c r="D123" s="98"/>
      <c r="E123" s="98"/>
      <c r="F123" s="98"/>
      <c r="G123" s="98"/>
      <c r="H123" s="98"/>
      <c r="I123" s="98"/>
    </row>
    <row r="124" customFormat="false" ht="36" hidden="false" customHeight="true" outlineLevel="0" collapsed="false">
      <c r="A124" s="186" t="s">
        <v>1215</v>
      </c>
      <c r="B124" s="186"/>
      <c r="C124" s="186"/>
      <c r="D124" s="186"/>
      <c r="E124" s="186"/>
      <c r="F124" s="186"/>
      <c r="G124" s="186"/>
      <c r="H124" s="186"/>
      <c r="I124" s="186"/>
    </row>
    <row r="125" customFormat="false" ht="37.3" hidden="false" customHeight="false" outlineLevel="0" collapsed="false">
      <c r="A125" s="183" t="s">
        <v>1216</v>
      </c>
    </row>
    <row r="126" customFormat="false" ht="15" hidden="false" customHeight="true" outlineLevel="0" collapsed="false">
      <c r="A126" s="186" t="s">
        <v>1217</v>
      </c>
      <c r="B126" s="186"/>
      <c r="C126" s="186"/>
      <c r="D126" s="186"/>
      <c r="E126" s="186"/>
      <c r="F126" s="186"/>
      <c r="G126" s="186"/>
      <c r="H126" s="186"/>
      <c r="I126" s="186"/>
    </row>
    <row r="127" customFormat="false" ht="15" hidden="false" customHeight="true" outlineLevel="0" collapsed="false">
      <c r="A127" s="186" t="s">
        <v>1218</v>
      </c>
      <c r="B127" s="186"/>
      <c r="C127" s="186"/>
      <c r="D127" s="186"/>
      <c r="E127" s="186"/>
      <c r="F127" s="186"/>
      <c r="G127" s="186"/>
      <c r="H127" s="186"/>
      <c r="I127" s="186"/>
    </row>
    <row r="128" customFormat="false" ht="15" hidden="false" customHeight="true" outlineLevel="0" collapsed="false">
      <c r="A128" s="183" t="s">
        <v>1219</v>
      </c>
    </row>
    <row r="129" customFormat="false" ht="15" hidden="false" customHeight="true" outlineLevel="0" collapsed="false">
      <c r="A129" s="202"/>
      <c r="B129" s="202"/>
      <c r="C129" s="202"/>
      <c r="D129" s="202"/>
      <c r="E129" s="202"/>
      <c r="F129" s="202"/>
      <c r="G129" s="202"/>
      <c r="H129" s="202"/>
      <c r="I129" s="202"/>
    </row>
    <row r="130" customFormat="false" ht="23.25" hidden="false" customHeight="true" outlineLevel="0" collapsed="false">
      <c r="A130" s="210" t="s">
        <v>1220</v>
      </c>
    </row>
    <row r="131" customFormat="false" ht="23.25" hidden="false" customHeight="true" outlineLevel="0" collapsed="false">
      <c r="A131" s="211" t="s">
        <v>1221</v>
      </c>
    </row>
    <row r="132" customFormat="false" ht="23.25" hidden="false" customHeight="true" outlineLevel="0" collapsed="false">
      <c r="A132" s="4"/>
      <c r="B132" s="5"/>
      <c r="C132" s="5"/>
      <c r="D132" s="5"/>
      <c r="E132" s="5"/>
      <c r="F132" s="5"/>
      <c r="G132" s="5"/>
      <c r="H132" s="5"/>
      <c r="I132" s="5"/>
    </row>
    <row r="133" customFormat="false" ht="23.25" hidden="false" customHeight="true" outlineLevel="0" collapsed="false">
      <c r="A133" s="210" t="s">
        <v>1222</v>
      </c>
    </row>
    <row r="134" customFormat="false" ht="34.5" hidden="false" customHeight="true" outlineLevel="0" collapsed="false">
      <c r="A134" s="212" t="s">
        <v>653</v>
      </c>
      <c r="B134" s="212" t="s">
        <v>1223</v>
      </c>
      <c r="C134" s="212" t="s">
        <v>1224</v>
      </c>
      <c r="D134" s="212" t="s">
        <v>1225</v>
      </c>
      <c r="E134" s="212" t="s">
        <v>1226</v>
      </c>
      <c r="F134" s="212" t="s">
        <v>1227</v>
      </c>
      <c r="G134" s="212"/>
      <c r="H134" s="212"/>
      <c r="I134" s="212"/>
    </row>
    <row r="135" customFormat="false" ht="23.25" hidden="false" customHeight="true" outlineLevel="0" collapsed="false">
      <c r="A135" s="213" t="s">
        <v>10</v>
      </c>
      <c r="B135" s="214" t="s">
        <v>54</v>
      </c>
      <c r="C135" s="214" t="s">
        <v>1170</v>
      </c>
      <c r="D135" s="214" t="s">
        <v>1228</v>
      </c>
      <c r="E135" s="214" t="s">
        <v>1229</v>
      </c>
      <c r="F135" s="214" t="s">
        <v>1230</v>
      </c>
      <c r="G135" s="214"/>
      <c r="H135" s="214"/>
      <c r="I135" s="214"/>
    </row>
    <row r="136" customFormat="false" ht="23.25" hidden="false" customHeight="true" outlineLevel="0" collapsed="false">
      <c r="A136" s="213" t="s">
        <v>433</v>
      </c>
      <c r="B136" s="214" t="s">
        <v>1026</v>
      </c>
      <c r="C136" s="214" t="s">
        <v>1231</v>
      </c>
      <c r="D136" s="214" t="s">
        <v>1232</v>
      </c>
      <c r="E136" s="214" t="s">
        <v>1233</v>
      </c>
      <c r="F136" s="214" t="s">
        <v>1230</v>
      </c>
      <c r="G136" s="214"/>
      <c r="H136" s="214"/>
      <c r="I136" s="214"/>
    </row>
    <row r="137" customFormat="false" ht="23.25" hidden="false" customHeight="true" outlineLevel="0" collapsed="false">
      <c r="A137" s="83" t="s">
        <v>1234</v>
      </c>
      <c r="B137" s="84" t="s">
        <v>1235</v>
      </c>
      <c r="C137" s="84" t="s">
        <v>1236</v>
      </c>
      <c r="D137" s="84" t="s">
        <v>1237</v>
      </c>
      <c r="E137" s="84" t="s">
        <v>1238</v>
      </c>
      <c r="F137" s="84" t="s">
        <v>1239</v>
      </c>
      <c r="G137" s="214"/>
      <c r="H137" s="214"/>
      <c r="I137" s="214"/>
    </row>
    <row r="138" customFormat="false" ht="23.25" hidden="false" customHeight="true" outlineLevel="0" collapsed="false">
      <c r="A138" s="83" t="s">
        <v>1240</v>
      </c>
      <c r="B138" s="84" t="s">
        <v>1093</v>
      </c>
      <c r="C138" s="84" t="s">
        <v>1241</v>
      </c>
      <c r="D138" s="84" t="s">
        <v>1242</v>
      </c>
      <c r="E138" s="84" t="s">
        <v>1243</v>
      </c>
      <c r="F138" s="84" t="s">
        <v>894</v>
      </c>
      <c r="G138" s="214"/>
      <c r="H138" s="214"/>
      <c r="I138" s="214"/>
    </row>
    <row r="139" customFormat="false" ht="15" hidden="false" customHeight="true" outlineLevel="0" collapsed="false">
      <c r="A139" s="213" t="s">
        <v>1244</v>
      </c>
      <c r="B139" s="213"/>
      <c r="C139" s="213"/>
      <c r="D139" s="213"/>
      <c r="E139" s="213"/>
      <c r="F139" s="213"/>
      <c r="G139" s="213"/>
      <c r="H139" s="213"/>
      <c r="I139" s="213"/>
    </row>
    <row r="140" customFormat="false" ht="15" hidden="false" customHeight="true" outlineLevel="0" collapsed="false">
      <c r="A140" s="213" t="s">
        <v>1245</v>
      </c>
      <c r="B140" s="214" t="s">
        <v>1246</v>
      </c>
      <c r="C140" s="214" t="s">
        <v>1247</v>
      </c>
      <c r="D140" s="214" t="s">
        <v>1248</v>
      </c>
      <c r="E140" s="214" t="s">
        <v>1249</v>
      </c>
      <c r="F140" s="214" t="s">
        <v>894</v>
      </c>
      <c r="G140" s="214"/>
      <c r="H140" s="214"/>
      <c r="I140" s="214"/>
    </row>
    <row r="141" customFormat="false" ht="15" hidden="false" customHeight="true" outlineLevel="0" collapsed="false">
      <c r="A141" s="213" t="s">
        <v>1250</v>
      </c>
      <c r="B141" s="213"/>
      <c r="C141" s="213"/>
      <c r="D141" s="213"/>
      <c r="E141" s="213"/>
      <c r="F141" s="213"/>
      <c r="G141" s="213"/>
      <c r="H141" s="213"/>
      <c r="I141" s="213"/>
    </row>
    <row r="142" customFormat="false" ht="23.25" hidden="false" customHeight="true" outlineLevel="0" collapsed="false">
      <c r="A142" s="213" t="s">
        <v>1251</v>
      </c>
      <c r="B142" s="214" t="s">
        <v>381</v>
      </c>
      <c r="C142" s="214" t="s">
        <v>1252</v>
      </c>
      <c r="D142" s="214" t="s">
        <v>381</v>
      </c>
      <c r="E142" s="214" t="s">
        <v>381</v>
      </c>
      <c r="F142" s="214" t="s">
        <v>381</v>
      </c>
      <c r="G142" s="214"/>
      <c r="H142" s="214"/>
      <c r="I142" s="214"/>
    </row>
    <row r="143" customFormat="false" ht="23.25" hidden="false" customHeight="true" outlineLevel="0" collapsed="false">
      <c r="A143" s="211" t="s">
        <v>1253</v>
      </c>
    </row>
    <row r="144" customFormat="false" ht="23.25" hidden="false" customHeight="true" outlineLevel="0" collapsed="false">
      <c r="A144" s="4"/>
      <c r="B144" s="5"/>
      <c r="C144" s="5"/>
      <c r="D144" s="5"/>
      <c r="E144" s="5"/>
      <c r="F144" s="5"/>
      <c r="G144" s="5"/>
      <c r="H144" s="5"/>
      <c r="I144" s="5"/>
    </row>
    <row r="145" customFormat="false" ht="23.25" hidden="false" customHeight="true" outlineLevel="0" collapsed="false">
      <c r="A145" s="210" t="s">
        <v>1254</v>
      </c>
    </row>
    <row r="146" customFormat="false" ht="23.25" hidden="false" customHeight="true" outlineLevel="0" collapsed="false">
      <c r="A146" s="212" t="s">
        <v>105</v>
      </c>
      <c r="B146" s="212" t="s">
        <v>1255</v>
      </c>
      <c r="C146" s="212" t="s">
        <v>1256</v>
      </c>
      <c r="D146" s="212" t="s">
        <v>1257</v>
      </c>
      <c r="E146" s="212" t="s">
        <v>1258</v>
      </c>
      <c r="F146" s="212" t="s">
        <v>951</v>
      </c>
      <c r="G146" s="212" t="s">
        <v>1259</v>
      </c>
      <c r="H146" s="212" t="s">
        <v>242</v>
      </c>
      <c r="I146" s="212"/>
    </row>
    <row r="147" customFormat="false" ht="21.75" hidden="false" customHeight="true" outlineLevel="0" collapsed="false">
      <c r="A147" s="213" t="s">
        <v>108</v>
      </c>
      <c r="B147" s="213"/>
      <c r="C147" s="213"/>
      <c r="D147" s="213"/>
      <c r="E147" s="213"/>
      <c r="F147" s="213"/>
      <c r="G147" s="213"/>
      <c r="H147" s="213"/>
      <c r="I147" s="213"/>
    </row>
    <row r="148" customFormat="false" ht="15" hidden="false" customHeight="true" outlineLevel="0" collapsed="false">
      <c r="A148" s="213" t="s">
        <v>111</v>
      </c>
      <c r="B148" s="214" t="s">
        <v>1260</v>
      </c>
      <c r="C148" s="214" t="s">
        <v>1261</v>
      </c>
      <c r="D148" s="214" t="s">
        <v>806</v>
      </c>
      <c r="E148" s="214" t="s">
        <v>1262</v>
      </c>
      <c r="F148" s="214" t="s">
        <v>1263</v>
      </c>
      <c r="G148" s="214" t="s">
        <v>1264</v>
      </c>
      <c r="H148" s="214" t="s">
        <v>198</v>
      </c>
      <c r="I148" s="214"/>
    </row>
    <row r="149" customFormat="false" ht="15" hidden="false" customHeight="true" outlineLevel="0" collapsed="false">
      <c r="A149" s="213" t="s">
        <v>114</v>
      </c>
      <c r="B149" s="213"/>
      <c r="C149" s="213"/>
      <c r="D149" s="213"/>
      <c r="E149" s="213"/>
      <c r="F149" s="213"/>
      <c r="G149" s="213"/>
      <c r="H149" s="213"/>
      <c r="I149" s="213"/>
    </row>
    <row r="150" customFormat="false" ht="23.25" hidden="false" customHeight="true" outlineLevel="0" collapsed="false">
      <c r="A150" s="213" t="s">
        <v>1265</v>
      </c>
      <c r="B150" s="214" t="s">
        <v>381</v>
      </c>
      <c r="C150" s="214" t="s">
        <v>381</v>
      </c>
      <c r="D150" s="214" t="s">
        <v>381</v>
      </c>
      <c r="E150" s="214" t="s">
        <v>381</v>
      </c>
      <c r="F150" s="214" t="s">
        <v>1263</v>
      </c>
      <c r="G150" s="214" t="s">
        <v>1266</v>
      </c>
      <c r="H150" s="214" t="s">
        <v>198</v>
      </c>
      <c r="I150" s="214"/>
    </row>
    <row r="151" customFormat="false" ht="23.25" hidden="false" customHeight="true" outlineLevel="0" collapsed="false">
      <c r="A151" s="211" t="s">
        <v>1267</v>
      </c>
    </row>
    <row r="152" customFormat="false" ht="23.25" hidden="false" customHeight="true" outlineLevel="0" collapsed="false">
      <c r="A152" s="4"/>
      <c r="B152" s="5"/>
      <c r="C152" s="5"/>
      <c r="D152" s="5"/>
      <c r="E152" s="5"/>
      <c r="F152" s="5"/>
      <c r="G152" s="5"/>
      <c r="H152" s="5"/>
      <c r="I152" s="5"/>
    </row>
    <row r="153" customFormat="false" ht="23.25" hidden="false" customHeight="true" outlineLevel="0" collapsed="false">
      <c r="A153" s="210" t="s">
        <v>1268</v>
      </c>
    </row>
    <row r="154" customFormat="false" ht="23.25" hidden="false" customHeight="true" outlineLevel="0" collapsed="false">
      <c r="A154" s="212" t="s">
        <v>105</v>
      </c>
      <c r="B154" s="212" t="s">
        <v>1269</v>
      </c>
      <c r="C154" s="212" t="s">
        <v>1270</v>
      </c>
      <c r="D154" s="212" t="s">
        <v>1271</v>
      </c>
      <c r="E154" s="212" t="s">
        <v>1272</v>
      </c>
      <c r="F154" s="212" t="s">
        <v>1273</v>
      </c>
      <c r="G154" s="212" t="s">
        <v>1274</v>
      </c>
      <c r="H154" s="212" t="s">
        <v>1226</v>
      </c>
      <c r="I154" s="212"/>
    </row>
    <row r="155" customFormat="false" ht="21.75" hidden="false" customHeight="true" outlineLevel="0" collapsed="false">
      <c r="A155" s="213" t="s">
        <v>114</v>
      </c>
      <c r="B155" s="213"/>
      <c r="C155" s="213"/>
      <c r="D155" s="213"/>
      <c r="E155" s="213"/>
      <c r="F155" s="213"/>
      <c r="G155" s="213"/>
      <c r="H155" s="213"/>
      <c r="I155" s="213"/>
    </row>
    <row r="156" customFormat="false" ht="15" hidden="false" customHeight="true" outlineLevel="0" collapsed="false">
      <c r="A156" s="213" t="s">
        <v>1275</v>
      </c>
      <c r="B156" s="214" t="s">
        <v>1276</v>
      </c>
      <c r="C156" s="214" t="s">
        <v>1277</v>
      </c>
      <c r="D156" s="214" t="s">
        <v>1278</v>
      </c>
      <c r="E156" s="214" t="s">
        <v>1279</v>
      </c>
      <c r="F156" s="214" t="s">
        <v>491</v>
      </c>
      <c r="G156" s="214" t="s">
        <v>1280</v>
      </c>
      <c r="H156" s="214" t="s">
        <v>1281</v>
      </c>
      <c r="I156" s="214"/>
    </row>
    <row r="157" customFormat="false" ht="15" hidden="false" customHeight="true" outlineLevel="0" collapsed="false">
      <c r="A157" s="213" t="s">
        <v>108</v>
      </c>
      <c r="B157" s="213"/>
      <c r="C157" s="213"/>
      <c r="D157" s="213"/>
      <c r="E157" s="213"/>
      <c r="F157" s="213"/>
      <c r="G157" s="213"/>
      <c r="H157" s="213"/>
      <c r="I157" s="213"/>
    </row>
    <row r="158" customFormat="false" ht="23.25" hidden="false" customHeight="true" outlineLevel="0" collapsed="false">
      <c r="A158" s="213" t="s">
        <v>111</v>
      </c>
      <c r="B158" s="214" t="s">
        <v>1282</v>
      </c>
      <c r="C158" s="214" t="s">
        <v>1283</v>
      </c>
      <c r="D158" s="214" t="s">
        <v>1284</v>
      </c>
      <c r="E158" s="214" t="s">
        <v>1279</v>
      </c>
      <c r="F158" s="214" t="s">
        <v>1285</v>
      </c>
      <c r="G158" s="214" t="s">
        <v>1286</v>
      </c>
      <c r="H158" s="214" t="s">
        <v>1281</v>
      </c>
      <c r="I158" s="214"/>
    </row>
    <row r="159" customFormat="false" ht="57" hidden="false" customHeight="true" outlineLevel="0" collapsed="false">
      <c r="A159" s="211" t="s">
        <v>1287</v>
      </c>
    </row>
    <row r="160" customFormat="false" ht="23.25" hidden="false" customHeight="true" outlineLevel="0" collapsed="false">
      <c r="A160" s="4"/>
      <c r="B160" s="5"/>
      <c r="C160" s="5"/>
      <c r="D160" s="5"/>
      <c r="E160" s="5"/>
      <c r="F160" s="5"/>
      <c r="G160" s="5"/>
      <c r="H160" s="5"/>
      <c r="I160" s="5"/>
    </row>
    <row r="161" customFormat="false" ht="23.25" hidden="false" customHeight="true" outlineLevel="0" collapsed="false">
      <c r="A161" s="210" t="s">
        <v>1288</v>
      </c>
    </row>
    <row r="162" customFormat="false" ht="21.75" hidden="false" customHeight="true" outlineLevel="0" collapsed="false">
      <c r="A162" s="212" t="s">
        <v>105</v>
      </c>
      <c r="B162" s="212"/>
      <c r="C162" s="212"/>
      <c r="D162" s="212"/>
      <c r="E162" s="212"/>
      <c r="F162" s="212"/>
      <c r="G162" s="212"/>
      <c r="H162" s="212"/>
      <c r="I162" s="212"/>
    </row>
    <row r="163" customFormat="false" ht="15" hidden="false" customHeight="true" outlineLevel="0" collapsed="false">
      <c r="A163" s="213" t="s">
        <v>114</v>
      </c>
      <c r="B163" s="214" t="s">
        <v>1289</v>
      </c>
      <c r="C163" s="214" t="s">
        <v>1290</v>
      </c>
      <c r="D163" s="214" t="s">
        <v>1291</v>
      </c>
      <c r="E163" s="214" t="s">
        <v>1292</v>
      </c>
      <c r="F163" s="214" t="s">
        <v>1293</v>
      </c>
      <c r="G163" s="214" t="s">
        <v>894</v>
      </c>
      <c r="H163" s="214"/>
      <c r="I163" s="214"/>
    </row>
    <row r="164" customFormat="false" ht="15" hidden="false" customHeight="true" outlineLevel="0" collapsed="false">
      <c r="A164" s="213" t="s">
        <v>108</v>
      </c>
      <c r="B164" s="213"/>
      <c r="C164" s="213"/>
      <c r="D164" s="213"/>
      <c r="E164" s="213"/>
      <c r="F164" s="213"/>
      <c r="G164" s="213"/>
      <c r="H164" s="213"/>
      <c r="I164" s="213"/>
    </row>
    <row r="165" customFormat="false" ht="15" hidden="false" customHeight="true" outlineLevel="0" collapsed="false">
      <c r="A165" s="213" t="s">
        <v>111</v>
      </c>
      <c r="B165" s="214" t="s">
        <v>1294</v>
      </c>
      <c r="C165" s="214" t="s">
        <v>1295</v>
      </c>
      <c r="D165" s="214" t="s">
        <v>381</v>
      </c>
      <c r="E165" s="214" t="s">
        <v>381</v>
      </c>
      <c r="F165" s="214" t="s">
        <v>381</v>
      </c>
      <c r="G165" s="214" t="s">
        <v>894</v>
      </c>
      <c r="H165" s="214"/>
      <c r="I165" s="214"/>
    </row>
    <row r="166" customFormat="false" ht="15" hidden="false" customHeight="true" outlineLevel="0" collapsed="false">
      <c r="A166" s="211" t="s">
        <v>1296</v>
      </c>
    </row>
    <row r="167" customFormat="false" ht="15" hidden="false" customHeight="true" outlineLevel="0" collapsed="false">
      <c r="A167" s="4"/>
      <c r="B167" s="5"/>
      <c r="C167" s="5"/>
      <c r="D167" s="5"/>
      <c r="E167" s="5"/>
      <c r="F167" s="5"/>
      <c r="G167" s="5"/>
      <c r="H167" s="5"/>
      <c r="I167" s="5"/>
    </row>
    <row r="168" customFormat="false" ht="15" hidden="false" customHeight="true" outlineLevel="0" collapsed="false">
      <c r="A168" s="210" t="s">
        <v>1297</v>
      </c>
    </row>
    <row r="169" customFormat="false" ht="21.75" hidden="false" customHeight="true" outlineLevel="0" collapsed="false">
      <c r="A169" s="212" t="s">
        <v>1298</v>
      </c>
      <c r="B169" s="212"/>
      <c r="C169" s="212"/>
      <c r="D169" s="212"/>
      <c r="E169" s="212"/>
      <c r="F169" s="212"/>
      <c r="G169" s="212"/>
      <c r="H169" s="212"/>
      <c r="I169" s="212"/>
    </row>
    <row r="170" customFormat="false" ht="15" hidden="false" customHeight="true" outlineLevel="0" collapsed="false">
      <c r="A170" s="213" t="s">
        <v>1299</v>
      </c>
      <c r="B170" s="214" t="s">
        <v>1300</v>
      </c>
      <c r="C170" s="214" t="s">
        <v>1301</v>
      </c>
      <c r="D170" s="214" t="s">
        <v>1276</v>
      </c>
      <c r="E170" s="214" t="s">
        <v>381</v>
      </c>
      <c r="F170" s="214" t="s">
        <v>491</v>
      </c>
      <c r="G170" s="214" t="s">
        <v>1302</v>
      </c>
      <c r="H170" s="214" t="s">
        <v>1303</v>
      </c>
      <c r="I170" s="214"/>
    </row>
    <row r="171" customFormat="false" ht="15" hidden="false" customHeight="true" outlineLevel="0" collapsed="false">
      <c r="A171" s="213" t="s">
        <v>1304</v>
      </c>
      <c r="B171" s="213"/>
      <c r="C171" s="213"/>
      <c r="D171" s="213"/>
      <c r="E171" s="213"/>
      <c r="F171" s="213"/>
      <c r="G171" s="213"/>
      <c r="H171" s="213"/>
      <c r="I171" s="213"/>
    </row>
    <row r="172" customFormat="false" ht="23.25" hidden="false" customHeight="true" outlineLevel="0" collapsed="false">
      <c r="A172" s="213" t="s">
        <v>1305</v>
      </c>
      <c r="B172" s="214" t="s">
        <v>381</v>
      </c>
      <c r="C172" s="214" t="s">
        <v>381</v>
      </c>
      <c r="D172" s="214" t="s">
        <v>1306</v>
      </c>
      <c r="E172" s="214" t="s">
        <v>381</v>
      </c>
      <c r="F172" s="214" t="s">
        <v>1307</v>
      </c>
      <c r="G172" s="214" t="s">
        <v>1308</v>
      </c>
      <c r="H172" s="214" t="s">
        <v>988</v>
      </c>
      <c r="I172" s="214"/>
    </row>
    <row r="173" customFormat="false" ht="15" hidden="false" customHeight="true" outlineLevel="0" collapsed="false">
      <c r="A173" s="211" t="s">
        <v>1309</v>
      </c>
    </row>
    <row r="174" customFormat="false" ht="15" hidden="false" customHeight="true" outlineLevel="0" collapsed="false">
      <c r="A174" s="4"/>
      <c r="B174" s="5"/>
      <c r="C174" s="5"/>
      <c r="D174" s="5"/>
      <c r="E174" s="5"/>
      <c r="F174" s="5"/>
      <c r="G174" s="5"/>
      <c r="H174" s="5"/>
      <c r="I174" s="5"/>
    </row>
    <row r="175" customFormat="false" ht="15" hidden="false" customHeight="true" outlineLevel="0" collapsed="false">
      <c r="A175" s="210" t="s">
        <v>1310</v>
      </c>
    </row>
    <row r="176" customFormat="false" ht="15" hidden="false" customHeight="true" outlineLevel="0" collapsed="false">
      <c r="A176" s="212" t="s">
        <v>1311</v>
      </c>
      <c r="B176" s="212" t="s">
        <v>85</v>
      </c>
      <c r="C176" s="212" t="s">
        <v>7</v>
      </c>
      <c r="D176" s="212" t="s">
        <v>1312</v>
      </c>
      <c r="E176" s="212" t="s">
        <v>1313</v>
      </c>
      <c r="F176" s="212" t="s">
        <v>1226</v>
      </c>
      <c r="G176" s="212" t="s">
        <v>1314</v>
      </c>
      <c r="H176" s="212"/>
      <c r="I176" s="212"/>
    </row>
    <row r="177" customFormat="false" ht="15" hidden="false" customHeight="true" outlineLevel="0" collapsed="false">
      <c r="A177" s="213" t="s">
        <v>1315</v>
      </c>
      <c r="B177" s="214" t="s">
        <v>1316</v>
      </c>
      <c r="C177" s="214" t="s">
        <v>1317</v>
      </c>
      <c r="D177" s="214" t="s">
        <v>1318</v>
      </c>
      <c r="E177" s="214" t="s">
        <v>1303</v>
      </c>
      <c r="F177" s="214" t="s">
        <v>381</v>
      </c>
      <c r="G177" s="214" t="s">
        <v>381</v>
      </c>
      <c r="H177" s="214"/>
      <c r="I177" s="214"/>
    </row>
    <row r="178" customFormat="false" ht="21.75" hidden="false" customHeight="true" outlineLevel="0" collapsed="false">
      <c r="A178" s="83" t="s">
        <v>1319</v>
      </c>
      <c r="B178" s="83"/>
      <c r="C178" s="83"/>
      <c r="D178" s="83"/>
      <c r="E178" s="83"/>
      <c r="F178" s="83"/>
      <c r="G178" s="83"/>
      <c r="H178" s="83"/>
      <c r="I178" s="83"/>
    </row>
    <row r="179" customFormat="false" ht="15" hidden="false" customHeight="true" outlineLevel="0" collapsed="false">
      <c r="A179" s="213" t="s">
        <v>1320</v>
      </c>
      <c r="B179" s="214" t="s">
        <v>970</v>
      </c>
      <c r="C179" s="214" t="s">
        <v>1321</v>
      </c>
      <c r="D179" s="214" t="s">
        <v>1322</v>
      </c>
      <c r="E179" s="214" t="s">
        <v>746</v>
      </c>
      <c r="F179" s="214" t="s">
        <v>894</v>
      </c>
      <c r="G179" s="214" t="s">
        <v>1323</v>
      </c>
      <c r="H179" s="214"/>
      <c r="I179" s="214"/>
    </row>
    <row r="180" customFormat="false" ht="15" hidden="false" customHeight="true" outlineLevel="0" collapsed="false">
      <c r="A180" s="213" t="s">
        <v>1324</v>
      </c>
      <c r="B180" s="213"/>
      <c r="C180" s="213"/>
      <c r="D180" s="213"/>
      <c r="E180" s="213"/>
      <c r="F180" s="213"/>
      <c r="G180" s="213"/>
      <c r="H180" s="213"/>
      <c r="I180" s="213"/>
    </row>
    <row r="181" customFormat="false" ht="23.25" hidden="false" customHeight="true" outlineLevel="0" collapsed="false">
      <c r="A181" s="213" t="s">
        <v>1325</v>
      </c>
      <c r="B181" s="214" t="s">
        <v>1326</v>
      </c>
      <c r="C181" s="214" t="s">
        <v>1327</v>
      </c>
      <c r="D181" s="214" t="s">
        <v>381</v>
      </c>
      <c r="E181" s="214" t="s">
        <v>1328</v>
      </c>
      <c r="F181" s="214" t="s">
        <v>894</v>
      </c>
      <c r="G181" s="214" t="s">
        <v>1329</v>
      </c>
      <c r="H181" s="214"/>
      <c r="I181" s="214"/>
    </row>
    <row r="182" customFormat="false" ht="34.5" hidden="false" customHeight="true" outlineLevel="0" collapsed="false">
      <c r="A182" s="211" t="s">
        <v>1330</v>
      </c>
    </row>
    <row r="183" customFormat="false" ht="34.5" hidden="false" customHeight="true" outlineLevel="0" collapsed="false">
      <c r="A183" s="4"/>
      <c r="B183" s="5"/>
      <c r="C183" s="5"/>
      <c r="D183" s="5"/>
      <c r="E183" s="5"/>
      <c r="F183" s="5"/>
      <c r="G183" s="5"/>
      <c r="H183" s="5"/>
      <c r="I183" s="5"/>
    </row>
    <row r="184" customFormat="false" ht="34.5" hidden="false" customHeight="true" outlineLevel="0" collapsed="false">
      <c r="A184" s="210" t="s">
        <v>1331</v>
      </c>
    </row>
    <row r="185" customFormat="false" ht="23.25" hidden="false" customHeight="true" outlineLevel="0" collapsed="false">
      <c r="A185" s="212" t="s">
        <v>1098</v>
      </c>
      <c r="B185" s="212" t="s">
        <v>85</v>
      </c>
      <c r="C185" s="212" t="s">
        <v>950</v>
      </c>
      <c r="D185" s="212" t="s">
        <v>1332</v>
      </c>
      <c r="E185" s="212" t="s">
        <v>1333</v>
      </c>
      <c r="F185" s="212" t="s">
        <v>1334</v>
      </c>
      <c r="G185" s="212" t="s">
        <v>512</v>
      </c>
      <c r="H185" s="212"/>
      <c r="I185" s="212"/>
    </row>
    <row r="186" customFormat="false" ht="21.75" hidden="false" customHeight="true" outlineLevel="0" collapsed="false">
      <c r="A186" s="213" t="s">
        <v>1335</v>
      </c>
      <c r="B186" s="213"/>
      <c r="C186" s="213"/>
      <c r="D186" s="213"/>
      <c r="E186" s="213"/>
      <c r="F186" s="213"/>
      <c r="G186" s="213"/>
      <c r="H186" s="213"/>
      <c r="I186" s="213"/>
    </row>
    <row r="187" customFormat="false" ht="15" hidden="false" customHeight="true" outlineLevel="0" collapsed="false">
      <c r="A187" s="213" t="s">
        <v>1336</v>
      </c>
      <c r="B187" s="214" t="s">
        <v>1337</v>
      </c>
      <c r="C187" s="214" t="s">
        <v>1338</v>
      </c>
      <c r="D187" s="214" t="s">
        <v>1339</v>
      </c>
      <c r="E187" s="214" t="s">
        <v>381</v>
      </c>
      <c r="F187" s="214" t="s">
        <v>1340</v>
      </c>
      <c r="G187" s="214" t="s">
        <v>1341</v>
      </c>
      <c r="H187" s="214"/>
      <c r="I187" s="214"/>
    </row>
    <row r="188" customFormat="false" ht="15" hidden="false" customHeight="true" outlineLevel="0" collapsed="false">
      <c r="A188" s="215" t="s">
        <v>1342</v>
      </c>
      <c r="B188" s="215"/>
      <c r="C188" s="215"/>
      <c r="D188" s="215"/>
      <c r="E188" s="215"/>
      <c r="F188" s="215"/>
      <c r="G188" s="215"/>
      <c r="H188" s="215"/>
      <c r="I188" s="215"/>
    </row>
    <row r="189" customFormat="false" ht="23.25" hidden="false" customHeight="true" outlineLevel="0" collapsed="false">
      <c r="A189" s="213" t="s">
        <v>1343</v>
      </c>
      <c r="B189" s="214" t="s">
        <v>1344</v>
      </c>
      <c r="C189" s="214" t="s">
        <v>1345</v>
      </c>
      <c r="D189" s="214" t="s">
        <v>1346</v>
      </c>
      <c r="E189" s="214" t="s">
        <v>381</v>
      </c>
      <c r="F189" s="214" t="s">
        <v>381</v>
      </c>
      <c r="G189" s="214" t="s">
        <v>1341</v>
      </c>
      <c r="H189" s="214"/>
      <c r="I189" s="214"/>
    </row>
    <row r="190" customFormat="false" ht="23.25" hidden="false" customHeight="true" outlineLevel="0" collapsed="false">
      <c r="A190" s="211" t="s">
        <v>1347</v>
      </c>
    </row>
    <row r="191" customFormat="false" ht="15" hidden="false" customHeight="true" outlineLevel="0" collapsed="false">
      <c r="A191" s="4"/>
      <c r="B191" s="5"/>
      <c r="C191" s="5"/>
      <c r="D191" s="5"/>
      <c r="E191" s="5"/>
      <c r="F191" s="5"/>
      <c r="G191" s="5"/>
      <c r="H191" s="5"/>
      <c r="I191" s="5"/>
    </row>
    <row r="192" customFormat="false" ht="15" hidden="false" customHeight="true" outlineLevel="0" collapsed="false">
      <c r="A192" s="210" t="s">
        <v>1348</v>
      </c>
    </row>
    <row r="193" customFormat="false" ht="15" hidden="false" customHeight="true" outlineLevel="0" collapsed="false">
      <c r="A193" s="212" t="s">
        <v>1349</v>
      </c>
      <c r="B193" s="212" t="s">
        <v>85</v>
      </c>
      <c r="C193" s="212" t="s">
        <v>950</v>
      </c>
      <c r="D193" s="212" t="s">
        <v>1312</v>
      </c>
      <c r="E193" s="212" t="s">
        <v>241</v>
      </c>
      <c r="F193" s="212" t="s">
        <v>1226</v>
      </c>
      <c r="G193" s="212" t="s">
        <v>1350</v>
      </c>
      <c r="H193" s="212"/>
      <c r="I193" s="212"/>
    </row>
    <row r="194" customFormat="false" ht="21.75" hidden="false" customHeight="true" outlineLevel="0" collapsed="false">
      <c r="A194" s="83" t="s">
        <v>1351</v>
      </c>
      <c r="B194" s="83"/>
      <c r="C194" s="83"/>
      <c r="D194" s="83"/>
      <c r="E194" s="83"/>
      <c r="F194" s="83"/>
      <c r="G194" s="83"/>
      <c r="H194" s="83"/>
      <c r="I194" s="83"/>
    </row>
    <row r="195" customFormat="false" ht="15" hidden="false" customHeight="false" outlineLevel="0" collapsed="false">
      <c r="A195" s="213" t="s">
        <v>1352</v>
      </c>
      <c r="B195" s="214" t="s">
        <v>1353</v>
      </c>
      <c r="C195" s="214" t="s">
        <v>1354</v>
      </c>
      <c r="D195" s="214" t="s">
        <v>1355</v>
      </c>
      <c r="E195" s="214" t="s">
        <v>1356</v>
      </c>
      <c r="F195" s="214" t="s">
        <v>381</v>
      </c>
      <c r="G195" s="214" t="s">
        <v>917</v>
      </c>
      <c r="H195" s="214"/>
      <c r="I195" s="214"/>
    </row>
    <row r="196" customFormat="false" ht="15" hidden="false" customHeight="false" outlineLevel="0" collapsed="false">
      <c r="A196" s="213" t="s">
        <v>1357</v>
      </c>
      <c r="B196" s="214" t="s">
        <v>1358</v>
      </c>
      <c r="C196" s="214" t="s">
        <v>1359</v>
      </c>
      <c r="D196" s="214" t="s">
        <v>1360</v>
      </c>
      <c r="E196" s="214" t="s">
        <v>1361</v>
      </c>
      <c r="F196" s="214" t="s">
        <v>381</v>
      </c>
      <c r="G196" s="214" t="s">
        <v>1362</v>
      </c>
      <c r="H196" s="214"/>
      <c r="I196" s="214"/>
    </row>
    <row r="197" customFormat="false" ht="15" hidden="false" customHeight="false" outlineLevel="0" collapsed="false">
      <c r="A197" s="213" t="s">
        <v>1363</v>
      </c>
      <c r="B197" s="214" t="s">
        <v>1364</v>
      </c>
      <c r="C197" s="214" t="s">
        <v>324</v>
      </c>
      <c r="D197" s="214" t="s">
        <v>1365</v>
      </c>
      <c r="E197" s="214" t="s">
        <v>1366</v>
      </c>
      <c r="F197" s="214" t="s">
        <v>381</v>
      </c>
      <c r="G197" s="214" t="s">
        <v>917</v>
      </c>
      <c r="H197" s="214"/>
      <c r="I197" s="214"/>
    </row>
    <row r="198" customFormat="false" ht="74.6" hidden="false" customHeight="false" outlineLevel="0" collapsed="false">
      <c r="A198" s="211" t="s">
        <v>1367</v>
      </c>
    </row>
    <row r="200" customFormat="false" ht="15" hidden="false" customHeight="false" outlineLevel="0" collapsed="false">
      <c r="A200" s="216" t="s">
        <v>1368</v>
      </c>
      <c r="B200" s="216"/>
      <c r="C200" s="216"/>
      <c r="D200" s="216"/>
      <c r="E200" s="216"/>
      <c r="F200" s="216"/>
      <c r="G200" s="216"/>
      <c r="H200" s="216"/>
      <c r="I200" s="216"/>
    </row>
    <row r="201" customFormat="false" ht="15" hidden="false" customHeight="true" outlineLevel="0" collapsed="false">
      <c r="A201" s="167" t="s">
        <v>1369</v>
      </c>
      <c r="B201" s="167"/>
      <c r="C201" s="167"/>
      <c r="D201" s="167"/>
      <c r="E201" s="167"/>
      <c r="F201" s="167"/>
      <c r="G201" s="167"/>
      <c r="H201" s="167"/>
      <c r="I201" s="167"/>
    </row>
    <row r="202" customFormat="false" ht="15" hidden="false" customHeight="false" outlineLevel="0" collapsed="false">
      <c r="A202" s="168"/>
      <c r="B202" s="168"/>
      <c r="C202" s="168"/>
      <c r="D202" s="168"/>
      <c r="E202" s="168"/>
      <c r="F202" s="168"/>
      <c r="G202" s="168"/>
      <c r="H202" s="168"/>
      <c r="I202" s="168"/>
    </row>
    <row r="203" customFormat="false" ht="15" hidden="false" customHeight="false" outlineLevel="0" collapsed="false">
      <c r="A203" s="216" t="s">
        <v>1370</v>
      </c>
      <c r="B203" s="216"/>
      <c r="C203" s="216"/>
      <c r="D203" s="216"/>
      <c r="E203" s="216"/>
      <c r="F203" s="216"/>
      <c r="G203" s="216"/>
      <c r="H203" s="216"/>
      <c r="I203" s="216"/>
    </row>
    <row r="204" customFormat="false" ht="15" hidden="false" customHeight="false" outlineLevel="0" collapsed="false">
      <c r="A204" s="212" t="s">
        <v>1332</v>
      </c>
      <c r="B204" s="212" t="s">
        <v>1333</v>
      </c>
      <c r="C204" s="212" t="s">
        <v>85</v>
      </c>
      <c r="D204" s="212" t="s">
        <v>950</v>
      </c>
      <c r="E204" s="212" t="s">
        <v>1371</v>
      </c>
      <c r="F204" s="212" t="s">
        <v>828</v>
      </c>
      <c r="G204" s="212" t="s">
        <v>98</v>
      </c>
      <c r="H204" s="212" t="s">
        <v>433</v>
      </c>
      <c r="I204" s="212" t="s">
        <v>1372</v>
      </c>
    </row>
    <row r="205" customFormat="false" ht="15" hidden="false" customHeight="false" outlineLevel="0" collapsed="false">
      <c r="A205" s="213" t="s">
        <v>1373</v>
      </c>
      <c r="B205" s="214" t="n">
        <v>108</v>
      </c>
      <c r="C205" s="214" t="s">
        <v>831</v>
      </c>
      <c r="D205" s="214" t="s">
        <v>833</v>
      </c>
      <c r="E205" s="214" t="s">
        <v>1374</v>
      </c>
      <c r="F205" s="214" t="s">
        <v>836</v>
      </c>
      <c r="G205" s="214" t="n">
        <v>146.2</v>
      </c>
      <c r="H205" s="214" t="s">
        <v>835</v>
      </c>
      <c r="I205" s="214" t="s">
        <v>837</v>
      </c>
    </row>
    <row r="206" customFormat="false" ht="15" hidden="false" customHeight="false" outlineLevel="0" collapsed="false">
      <c r="A206" s="83" t="s">
        <v>1375</v>
      </c>
      <c r="B206" s="84" t="n">
        <v>290</v>
      </c>
      <c r="C206" s="84" t="s">
        <v>839</v>
      </c>
      <c r="D206" s="84" t="s">
        <v>840</v>
      </c>
      <c r="E206" s="84" t="s">
        <v>1376</v>
      </c>
      <c r="F206" s="84" t="s">
        <v>843</v>
      </c>
      <c r="G206" s="84" t="n">
        <v>235.7</v>
      </c>
      <c r="H206" s="84" t="s">
        <v>842</v>
      </c>
      <c r="I206" s="84" t="s">
        <v>844</v>
      </c>
    </row>
    <row r="207" customFormat="false" ht="15" hidden="false" customHeight="false" outlineLevel="0" collapsed="false">
      <c r="A207" s="213" t="s">
        <v>1377</v>
      </c>
      <c r="B207" s="214" t="n">
        <v>733</v>
      </c>
      <c r="C207" s="214" t="s">
        <v>846</v>
      </c>
      <c r="D207" s="214" t="s">
        <v>848</v>
      </c>
      <c r="E207" s="214" t="s">
        <v>1378</v>
      </c>
      <c r="F207" s="214" t="s">
        <v>851</v>
      </c>
      <c r="G207" s="214" t="n">
        <v>154.9</v>
      </c>
      <c r="H207" s="214" t="s">
        <v>850</v>
      </c>
      <c r="I207" s="214" t="s">
        <v>852</v>
      </c>
    </row>
    <row r="208" customFormat="false" ht="22.35" hidden="false" customHeight="true" outlineLevel="0" collapsed="false">
      <c r="A208" s="167" t="s">
        <v>1379</v>
      </c>
      <c r="B208" s="167"/>
      <c r="C208" s="167"/>
      <c r="D208" s="167"/>
      <c r="E208" s="167"/>
      <c r="F208" s="167"/>
      <c r="G208" s="167"/>
      <c r="H208" s="167"/>
      <c r="I208" s="167"/>
    </row>
    <row r="209" customFormat="false" ht="15" hidden="false" customHeight="false" outlineLevel="0" collapsed="false">
      <c r="A209" s="168"/>
      <c r="B209" s="168"/>
      <c r="C209" s="168"/>
      <c r="D209" s="168"/>
      <c r="E209" s="168"/>
      <c r="F209" s="168"/>
      <c r="G209" s="168"/>
      <c r="H209" s="168"/>
      <c r="I209" s="168"/>
    </row>
    <row r="210" customFormat="false" ht="15" hidden="false" customHeight="false" outlineLevel="0" collapsed="false">
      <c r="A210" s="216" t="s">
        <v>1380</v>
      </c>
      <c r="B210" s="216"/>
      <c r="C210" s="216"/>
      <c r="D210" s="216"/>
      <c r="E210" s="216"/>
      <c r="F210" s="216"/>
      <c r="G210" s="216"/>
      <c r="H210" s="216"/>
      <c r="I210" s="216"/>
    </row>
    <row r="211" customFormat="false" ht="15" hidden="false" customHeight="false" outlineLevel="0" collapsed="false">
      <c r="A211" s="212" t="s">
        <v>150</v>
      </c>
      <c r="B211" s="212" t="s">
        <v>1381</v>
      </c>
      <c r="C211" s="212" t="s">
        <v>394</v>
      </c>
      <c r="D211" s="212" t="s">
        <v>1350</v>
      </c>
      <c r="E211" s="212"/>
      <c r="F211" s="212"/>
      <c r="G211" s="212"/>
      <c r="H211" s="212"/>
      <c r="I211" s="212"/>
    </row>
    <row r="212" customFormat="false" ht="46.25" hidden="false" customHeight="false" outlineLevel="0" collapsed="false">
      <c r="A212" s="213" t="s">
        <v>1056</v>
      </c>
      <c r="B212" s="214" t="s">
        <v>1382</v>
      </c>
      <c r="C212" s="214" t="s">
        <v>1383</v>
      </c>
      <c r="D212" s="214" t="s">
        <v>1384</v>
      </c>
      <c r="E212" s="214"/>
      <c r="F212" s="214"/>
      <c r="G212" s="214"/>
      <c r="H212" s="214"/>
      <c r="I212" s="214"/>
    </row>
    <row r="213" customFormat="false" ht="57.45" hidden="false" customHeight="false" outlineLevel="0" collapsed="false">
      <c r="A213" s="213" t="s">
        <v>1063</v>
      </c>
      <c r="B213" s="214" t="s">
        <v>1385</v>
      </c>
      <c r="C213" s="214" t="s">
        <v>1386</v>
      </c>
      <c r="D213" s="214" t="s">
        <v>1387</v>
      </c>
      <c r="E213" s="214"/>
      <c r="F213" s="214"/>
      <c r="G213" s="214"/>
      <c r="H213" s="214"/>
      <c r="I213" s="214"/>
    </row>
    <row r="214" customFormat="false" ht="46.25" hidden="false" customHeight="false" outlineLevel="0" collapsed="false">
      <c r="A214" s="213" t="s">
        <v>551</v>
      </c>
      <c r="B214" s="214" t="s">
        <v>1388</v>
      </c>
      <c r="C214" s="214" t="s">
        <v>1389</v>
      </c>
      <c r="D214" s="214" t="s">
        <v>1390</v>
      </c>
      <c r="E214" s="214"/>
      <c r="F214" s="214"/>
      <c r="G214" s="214"/>
      <c r="H214" s="214"/>
      <c r="I214" s="214"/>
    </row>
    <row r="215" customFormat="false" ht="46.25" hidden="false" customHeight="false" outlineLevel="0" collapsed="false">
      <c r="A215" s="213" t="s">
        <v>545</v>
      </c>
      <c r="B215" s="214" t="s">
        <v>1391</v>
      </c>
      <c r="C215" s="214" t="s">
        <v>1392</v>
      </c>
      <c r="D215" s="214" t="s">
        <v>1393</v>
      </c>
      <c r="E215" s="214"/>
      <c r="F215" s="214"/>
      <c r="G215" s="214"/>
      <c r="H215" s="214"/>
      <c r="I215" s="214"/>
    </row>
    <row r="216" customFormat="false" ht="57.45" hidden="false" customHeight="false" outlineLevel="0" collapsed="false">
      <c r="A216" s="213" t="s">
        <v>1394</v>
      </c>
      <c r="B216" s="214" t="s">
        <v>1395</v>
      </c>
      <c r="C216" s="214" t="s">
        <v>1396</v>
      </c>
      <c r="D216" s="214" t="s">
        <v>1397</v>
      </c>
      <c r="E216" s="214"/>
      <c r="F216" s="214"/>
      <c r="G216" s="214"/>
      <c r="H216" s="214"/>
      <c r="I216" s="214"/>
    </row>
    <row r="217" customFormat="false" ht="46.25" hidden="false" customHeight="false" outlineLevel="0" collapsed="false">
      <c r="A217" s="213" t="s">
        <v>1398</v>
      </c>
      <c r="B217" s="214" t="s">
        <v>1399</v>
      </c>
      <c r="C217" s="214" t="s">
        <v>1400</v>
      </c>
      <c r="D217" s="214" t="s">
        <v>1401</v>
      </c>
      <c r="E217" s="214"/>
      <c r="F217" s="214"/>
      <c r="G217" s="214"/>
      <c r="H217" s="214"/>
      <c r="I217" s="214"/>
    </row>
    <row r="219" customFormat="false" ht="15" hidden="false" customHeight="false" outlineLevel="0" collapsed="false">
      <c r="A219" s="216" t="s">
        <v>1402</v>
      </c>
      <c r="B219" s="216"/>
      <c r="C219" s="216"/>
      <c r="D219" s="216"/>
      <c r="E219" s="216"/>
      <c r="F219" s="216"/>
      <c r="G219" s="216"/>
      <c r="H219" s="216"/>
      <c r="I219" s="216"/>
    </row>
    <row r="220" customFormat="false" ht="15" hidden="false" customHeight="false" outlineLevel="0" collapsed="false">
      <c r="A220" s="212" t="s">
        <v>1403</v>
      </c>
      <c r="B220" s="212" t="s">
        <v>92</v>
      </c>
      <c r="C220" s="212" t="s">
        <v>85</v>
      </c>
      <c r="D220" s="212" t="s">
        <v>950</v>
      </c>
      <c r="E220" s="212" t="s">
        <v>828</v>
      </c>
      <c r="F220" s="212" t="s">
        <v>98</v>
      </c>
      <c r="G220" s="212" t="s">
        <v>1226</v>
      </c>
      <c r="H220" s="212"/>
      <c r="I220" s="212"/>
    </row>
    <row r="221" customFormat="false" ht="15" hidden="false" customHeight="false" outlineLevel="0" collapsed="false">
      <c r="A221" s="83" t="s">
        <v>1404</v>
      </c>
      <c r="B221" s="84" t="n">
        <v>18</v>
      </c>
      <c r="C221" s="84" t="s">
        <v>48</v>
      </c>
      <c r="D221" s="84" t="s">
        <v>1405</v>
      </c>
      <c r="E221" s="84" t="s">
        <v>859</v>
      </c>
      <c r="F221" s="84" t="n">
        <v>80.3</v>
      </c>
      <c r="G221" s="84" t="s">
        <v>873</v>
      </c>
      <c r="H221" s="84"/>
      <c r="I221" s="84"/>
    </row>
    <row r="222" customFormat="false" ht="15" hidden="false" customHeight="false" outlineLevel="0" collapsed="false">
      <c r="A222" s="83" t="s">
        <v>1406</v>
      </c>
      <c r="B222" s="84" t="n">
        <v>33</v>
      </c>
      <c r="C222" s="84" t="s">
        <v>598</v>
      </c>
      <c r="D222" s="84" t="s">
        <v>1100</v>
      </c>
      <c r="E222" s="84" t="s">
        <v>859</v>
      </c>
      <c r="F222" s="84" t="n">
        <v>156.7</v>
      </c>
      <c r="G222" s="84" t="s">
        <v>873</v>
      </c>
      <c r="H222" s="84"/>
      <c r="I222" s="84"/>
    </row>
    <row r="223" customFormat="false" ht="15" hidden="false" customHeight="false" outlineLevel="0" collapsed="false">
      <c r="A223" s="213" t="s">
        <v>1407</v>
      </c>
      <c r="B223" s="214" t="n">
        <v>31</v>
      </c>
      <c r="C223" s="214" t="s">
        <v>854</v>
      </c>
      <c r="D223" s="214" t="s">
        <v>1408</v>
      </c>
      <c r="E223" s="214" t="s">
        <v>859</v>
      </c>
      <c r="F223" s="214" t="n">
        <v>125.8</v>
      </c>
      <c r="G223" s="214" t="s">
        <v>873</v>
      </c>
      <c r="H223" s="214"/>
      <c r="I223" s="214"/>
    </row>
    <row r="224" customFormat="false" ht="15" hidden="false" customHeight="false" outlineLevel="0" collapsed="false">
      <c r="A224" s="213" t="s">
        <v>1409</v>
      </c>
      <c r="B224" s="214" t="n">
        <v>73</v>
      </c>
      <c r="C224" s="214" t="s">
        <v>1410</v>
      </c>
      <c r="D224" s="214" t="s">
        <v>1411</v>
      </c>
      <c r="E224" s="214" t="s">
        <v>1412</v>
      </c>
      <c r="F224" s="214" t="n">
        <v>132.7</v>
      </c>
      <c r="G224" s="214" t="s">
        <v>873</v>
      </c>
      <c r="H224" s="214"/>
      <c r="I224" s="214"/>
    </row>
    <row r="225" customFormat="false" ht="15" hidden="false" customHeight="false" outlineLevel="0" collapsed="false">
      <c r="A225" s="213" t="s">
        <v>1413</v>
      </c>
      <c r="B225" s="214" t="n">
        <v>98</v>
      </c>
      <c r="C225" s="214" t="s">
        <v>323</v>
      </c>
      <c r="D225" s="214" t="s">
        <v>1414</v>
      </c>
      <c r="E225" s="214" t="s">
        <v>1415</v>
      </c>
      <c r="F225" s="214" t="n">
        <v>107.4</v>
      </c>
      <c r="G225" s="214" t="s">
        <v>873</v>
      </c>
      <c r="H225" s="214"/>
      <c r="I225" s="214"/>
    </row>
    <row r="226" customFormat="false" ht="15" hidden="false" customHeight="false" outlineLevel="0" collapsed="false">
      <c r="A226" s="213" t="s">
        <v>1416</v>
      </c>
      <c r="B226" s="214" t="n">
        <v>117</v>
      </c>
      <c r="C226" s="214" t="s">
        <v>359</v>
      </c>
      <c r="D226" s="214" t="s">
        <v>1417</v>
      </c>
      <c r="E226" s="214" t="s">
        <v>1418</v>
      </c>
      <c r="F226" s="214" t="n">
        <v>48.3</v>
      </c>
      <c r="G226" s="214" t="s">
        <v>873</v>
      </c>
      <c r="H226" s="214"/>
      <c r="I226" s="214"/>
    </row>
    <row r="227" customFormat="false" ht="15" hidden="false" customHeight="true" outlineLevel="0" collapsed="false">
      <c r="A227" s="167" t="s">
        <v>1419</v>
      </c>
      <c r="B227" s="167"/>
      <c r="C227" s="167"/>
      <c r="D227" s="167"/>
      <c r="E227" s="167"/>
      <c r="F227" s="167"/>
      <c r="G227" s="167"/>
      <c r="H227" s="167"/>
      <c r="I227" s="167"/>
    </row>
    <row r="229" customFormat="false" ht="15" hidden="false" customHeight="false" outlineLevel="0" collapsed="false">
      <c r="A229" s="216" t="s">
        <v>1420</v>
      </c>
      <c r="B229" s="216"/>
      <c r="C229" s="216"/>
      <c r="D229" s="216"/>
      <c r="E229" s="216"/>
      <c r="F229" s="216"/>
      <c r="G229" s="216"/>
      <c r="H229" s="216"/>
      <c r="I229" s="216"/>
    </row>
    <row r="230" customFormat="false" ht="15" hidden="false" customHeight="false" outlineLevel="0" collapsed="false">
      <c r="A230" s="212" t="s">
        <v>1421</v>
      </c>
      <c r="B230" s="212" t="s">
        <v>85</v>
      </c>
      <c r="C230" s="212" t="s">
        <v>950</v>
      </c>
      <c r="D230" s="212" t="s">
        <v>1371</v>
      </c>
      <c r="E230" s="212" t="s">
        <v>98</v>
      </c>
      <c r="F230" s="212" t="s">
        <v>1312</v>
      </c>
      <c r="G230" s="212"/>
      <c r="H230" s="212"/>
      <c r="I230" s="212"/>
    </row>
    <row r="231" customFormat="false" ht="15" hidden="false" customHeight="false" outlineLevel="0" collapsed="false">
      <c r="A231" s="213" t="s">
        <v>1422</v>
      </c>
      <c r="B231" s="214" t="s">
        <v>1423</v>
      </c>
      <c r="C231" s="214" t="s">
        <v>1424</v>
      </c>
      <c r="D231" s="214" t="s">
        <v>1425</v>
      </c>
      <c r="E231" s="214" t="n">
        <v>30.9</v>
      </c>
      <c r="F231" s="214" t="n">
        <v>7.06</v>
      </c>
      <c r="G231" s="214"/>
      <c r="H231" s="214"/>
      <c r="I231" s="214"/>
    </row>
    <row r="232" customFormat="false" ht="15" hidden="false" customHeight="false" outlineLevel="0" collapsed="false">
      <c r="A232" s="213" t="s">
        <v>1426</v>
      </c>
      <c r="B232" s="214" t="s">
        <v>1423</v>
      </c>
      <c r="C232" s="214" t="s">
        <v>1427</v>
      </c>
      <c r="D232" s="214" t="s">
        <v>1428</v>
      </c>
      <c r="E232" s="214" t="n">
        <v>128.5</v>
      </c>
      <c r="F232" s="214" t="n">
        <v>11.25</v>
      </c>
      <c r="G232" s="214"/>
      <c r="H232" s="214"/>
      <c r="I232" s="214"/>
    </row>
    <row r="233" customFormat="false" ht="15" hidden="false" customHeight="false" outlineLevel="0" collapsed="false">
      <c r="A233" s="213" t="s">
        <v>1429</v>
      </c>
      <c r="B233" s="214" t="s">
        <v>1423</v>
      </c>
      <c r="C233" s="214" t="s">
        <v>1430</v>
      </c>
      <c r="D233" s="214" t="s">
        <v>1431</v>
      </c>
      <c r="E233" s="214" t="n">
        <v>154.6</v>
      </c>
      <c r="F233" s="214" t="n">
        <v>11.42</v>
      </c>
      <c r="G233" s="214"/>
      <c r="H233" s="214"/>
      <c r="I233" s="214"/>
    </row>
    <row r="234" customFormat="false" ht="15" hidden="false" customHeight="false" outlineLevel="0" collapsed="false">
      <c r="A234" s="213" t="s">
        <v>1432</v>
      </c>
      <c r="B234" s="214" t="s">
        <v>1423</v>
      </c>
      <c r="C234" s="214" t="s">
        <v>1433</v>
      </c>
      <c r="D234" s="214" t="s">
        <v>1434</v>
      </c>
      <c r="E234" s="214" t="n">
        <v>179.7</v>
      </c>
      <c r="F234" s="214" t="n">
        <v>11.1</v>
      </c>
      <c r="G234" s="214"/>
      <c r="H234" s="214"/>
      <c r="I234" s="214"/>
    </row>
    <row r="235" customFormat="false" ht="15" hidden="false" customHeight="false" outlineLevel="0" collapsed="false">
      <c r="A235" s="83" t="s">
        <v>1435</v>
      </c>
      <c r="B235" s="84" t="s">
        <v>1423</v>
      </c>
      <c r="C235" s="84" t="s">
        <v>1436</v>
      </c>
      <c r="D235" s="84" t="s">
        <v>1437</v>
      </c>
      <c r="E235" s="84" t="n">
        <v>232.8</v>
      </c>
      <c r="F235" s="84" t="n">
        <v>9.24</v>
      </c>
      <c r="G235" s="84"/>
      <c r="H235" s="84"/>
      <c r="I235" s="84"/>
    </row>
    <row r="236" customFormat="false" ht="15" hidden="false" customHeight="true" outlineLevel="0" collapsed="false">
      <c r="A236" s="167" t="s">
        <v>1438</v>
      </c>
      <c r="B236" s="167"/>
      <c r="C236" s="167"/>
      <c r="D236" s="167"/>
      <c r="E236" s="167"/>
      <c r="F236" s="167"/>
      <c r="G236" s="167"/>
      <c r="H236" s="167"/>
      <c r="I236" s="167"/>
    </row>
    <row r="238" customFormat="false" ht="15" hidden="false" customHeight="false" outlineLevel="0" collapsed="false">
      <c r="A238" s="216" t="s">
        <v>1439</v>
      </c>
      <c r="B238" s="216"/>
      <c r="C238" s="216"/>
      <c r="D238" s="216"/>
      <c r="E238" s="216"/>
      <c r="F238" s="216"/>
      <c r="G238" s="216"/>
      <c r="H238" s="216"/>
      <c r="I238" s="216"/>
    </row>
    <row r="239" customFormat="false" ht="15" hidden="false" customHeight="false" outlineLevel="0" collapsed="false">
      <c r="A239" s="212" t="s">
        <v>869</v>
      </c>
      <c r="B239" s="212" t="s">
        <v>1371</v>
      </c>
      <c r="C239" s="212" t="s">
        <v>828</v>
      </c>
      <c r="D239" s="212" t="s">
        <v>98</v>
      </c>
      <c r="E239" s="212" t="s">
        <v>870</v>
      </c>
      <c r="F239" s="212"/>
      <c r="G239" s="212"/>
      <c r="H239" s="212"/>
      <c r="I239" s="212"/>
    </row>
    <row r="240" customFormat="false" ht="15" hidden="false" customHeight="false" outlineLevel="0" collapsed="false">
      <c r="A240" s="213" t="s">
        <v>1440</v>
      </c>
      <c r="B240" s="214" t="s">
        <v>872</v>
      </c>
      <c r="C240" s="214" t="s">
        <v>1441</v>
      </c>
      <c r="D240" s="214" t="n">
        <v>232.8</v>
      </c>
      <c r="E240" s="214" t="n">
        <v>232.8</v>
      </c>
      <c r="F240" s="214"/>
      <c r="G240" s="214"/>
      <c r="H240" s="214"/>
      <c r="I240" s="214"/>
    </row>
    <row r="241" customFormat="false" ht="15" hidden="false" customHeight="false" outlineLevel="0" collapsed="false">
      <c r="A241" s="213" t="s">
        <v>1442</v>
      </c>
      <c r="B241" s="214" t="s">
        <v>1443</v>
      </c>
      <c r="C241" s="214" t="s">
        <v>1444</v>
      </c>
      <c r="D241" s="214" t="n">
        <v>178.9</v>
      </c>
      <c r="E241" s="214" t="s">
        <v>381</v>
      </c>
      <c r="F241" s="214"/>
      <c r="G241" s="214"/>
      <c r="H241" s="214"/>
      <c r="I241" s="214"/>
    </row>
    <row r="242" customFormat="false" ht="15" hidden="false" customHeight="false" outlineLevel="0" collapsed="false">
      <c r="A242" s="213" t="s">
        <v>1445</v>
      </c>
      <c r="B242" s="214" t="s">
        <v>1446</v>
      </c>
      <c r="C242" s="214" t="s">
        <v>1447</v>
      </c>
      <c r="D242" s="214" t="n">
        <v>140.8</v>
      </c>
      <c r="E242" s="214" t="s">
        <v>381</v>
      </c>
      <c r="F242" s="214"/>
      <c r="G242" s="214"/>
      <c r="H242" s="214"/>
      <c r="I242" s="214"/>
    </row>
    <row r="243" customFormat="false" ht="15" hidden="false" customHeight="false" outlineLevel="0" collapsed="false">
      <c r="A243" s="213" t="s">
        <v>1448</v>
      </c>
      <c r="B243" s="214" t="s">
        <v>875</v>
      </c>
      <c r="C243" s="214" t="s">
        <v>1449</v>
      </c>
      <c r="D243" s="214" t="n">
        <v>108.2</v>
      </c>
      <c r="E243" s="214" t="s">
        <v>381</v>
      </c>
      <c r="F243" s="214"/>
      <c r="G243" s="214"/>
      <c r="H243" s="214"/>
      <c r="I243" s="214"/>
    </row>
    <row r="244" customFormat="false" ht="15" hidden="false" customHeight="false" outlineLevel="0" collapsed="false">
      <c r="A244" s="213" t="s">
        <v>1450</v>
      </c>
      <c r="B244" s="214" t="s">
        <v>381</v>
      </c>
      <c r="C244" s="214" t="s">
        <v>381</v>
      </c>
      <c r="D244" s="214" t="n">
        <v>179.4</v>
      </c>
      <c r="E244" s="214" t="n">
        <v>121.8</v>
      </c>
      <c r="F244" s="214"/>
      <c r="G244" s="214"/>
      <c r="H244" s="214"/>
      <c r="I244" s="214"/>
    </row>
    <row r="245" customFormat="false" ht="15" hidden="false" customHeight="false" outlineLevel="0" collapsed="false">
      <c r="A245" s="213" t="s">
        <v>876</v>
      </c>
      <c r="B245" s="214" t="s">
        <v>381</v>
      </c>
      <c r="C245" s="214" t="s">
        <v>381</v>
      </c>
      <c r="D245" s="214" t="n">
        <v>111.1</v>
      </c>
      <c r="E245" s="214" t="n">
        <v>74.1</v>
      </c>
      <c r="F245" s="214"/>
      <c r="G245" s="214"/>
      <c r="H245" s="214"/>
      <c r="I245" s="214"/>
    </row>
    <row r="246" customFormat="false" ht="15" hidden="false" customHeight="false" outlineLevel="0" collapsed="false">
      <c r="A246" s="213" t="s">
        <v>878</v>
      </c>
      <c r="B246" s="214" t="s">
        <v>879</v>
      </c>
      <c r="C246" s="214" t="s">
        <v>381</v>
      </c>
      <c r="D246" s="214" t="n">
        <v>103.5</v>
      </c>
      <c r="E246" s="214" t="n">
        <v>75.5</v>
      </c>
      <c r="F246" s="214"/>
      <c r="G246" s="214"/>
      <c r="H246" s="214"/>
      <c r="I246" s="214"/>
    </row>
    <row r="247" customFormat="false" ht="15" hidden="false" customHeight="false" outlineLevel="0" collapsed="false">
      <c r="A247" s="215" t="s">
        <v>880</v>
      </c>
      <c r="B247" s="217" t="s">
        <v>881</v>
      </c>
      <c r="C247" s="217" t="s">
        <v>381</v>
      </c>
      <c r="D247" s="217" t="n">
        <v>56.7</v>
      </c>
      <c r="E247" s="217" t="n">
        <v>39</v>
      </c>
      <c r="F247" s="217"/>
      <c r="G247" s="217"/>
      <c r="H247" s="217"/>
      <c r="I247" s="217"/>
    </row>
    <row r="248" customFormat="false" ht="22.35" hidden="false" customHeight="true" outlineLevel="0" collapsed="false">
      <c r="A248" s="167" t="s">
        <v>1451</v>
      </c>
      <c r="B248" s="167"/>
      <c r="C248" s="167"/>
      <c r="D248" s="167"/>
      <c r="E248" s="167"/>
      <c r="F248" s="167"/>
      <c r="G248" s="167"/>
      <c r="H248" s="167"/>
      <c r="I248" s="167"/>
    </row>
    <row r="250" customFormat="false" ht="15" hidden="false" customHeight="false" outlineLevel="0" collapsed="false">
      <c r="A250" s="216" t="s">
        <v>1452</v>
      </c>
      <c r="B250" s="216"/>
      <c r="C250" s="216"/>
      <c r="D250" s="216"/>
      <c r="E250" s="216"/>
      <c r="F250" s="216"/>
      <c r="G250" s="216"/>
      <c r="H250" s="216"/>
      <c r="I250" s="216"/>
    </row>
    <row r="251" customFormat="false" ht="15" hidden="false" customHeight="false" outlineLevel="0" collapsed="false">
      <c r="A251" s="212" t="s">
        <v>1453</v>
      </c>
      <c r="B251" s="212" t="s">
        <v>92</v>
      </c>
      <c r="C251" s="212" t="s">
        <v>85</v>
      </c>
      <c r="D251" s="212" t="s">
        <v>950</v>
      </c>
      <c r="E251" s="212" t="s">
        <v>1454</v>
      </c>
      <c r="F251" s="212"/>
      <c r="G251" s="212"/>
      <c r="H251" s="212"/>
      <c r="I251" s="212"/>
    </row>
    <row r="252" customFormat="false" ht="15" hidden="false" customHeight="false" outlineLevel="0" collapsed="false">
      <c r="A252" s="213" t="s">
        <v>1455</v>
      </c>
      <c r="B252" s="214" t="n">
        <v>245</v>
      </c>
      <c r="C252" s="214" t="s">
        <v>1456</v>
      </c>
      <c r="D252" s="214" t="s">
        <v>1457</v>
      </c>
      <c r="E252" s="214" t="s">
        <v>381</v>
      </c>
      <c r="F252" s="214"/>
      <c r="G252" s="214"/>
      <c r="H252" s="214"/>
      <c r="I252" s="214"/>
    </row>
    <row r="253" customFormat="false" ht="15" hidden="false" customHeight="false" outlineLevel="0" collapsed="false">
      <c r="A253" s="213" t="s">
        <v>1458</v>
      </c>
      <c r="B253" s="214" t="n">
        <v>99</v>
      </c>
      <c r="C253" s="214" t="s">
        <v>1456</v>
      </c>
      <c r="D253" s="214" t="s">
        <v>1459</v>
      </c>
      <c r="E253" s="214" t="s">
        <v>381</v>
      </c>
      <c r="F253" s="214"/>
      <c r="G253" s="214"/>
      <c r="H253" s="214"/>
      <c r="I253" s="214"/>
    </row>
    <row r="254" customFormat="false" ht="15" hidden="false" customHeight="false" outlineLevel="0" collapsed="false">
      <c r="A254" s="213" t="s">
        <v>1460</v>
      </c>
      <c r="B254" s="214" t="n">
        <v>40</v>
      </c>
      <c r="C254" s="214" t="s">
        <v>1461</v>
      </c>
      <c r="D254" s="214" t="s">
        <v>1462</v>
      </c>
      <c r="E254" s="214" t="s">
        <v>381</v>
      </c>
      <c r="F254" s="214"/>
      <c r="G254" s="214"/>
      <c r="H254" s="214"/>
      <c r="I254" s="214"/>
    </row>
    <row r="255" customFormat="false" ht="23.85" hidden="false" customHeight="false" outlineLevel="0" collapsed="false">
      <c r="A255" s="83" t="s">
        <v>1463</v>
      </c>
      <c r="B255" s="84" t="n">
        <v>14</v>
      </c>
      <c r="C255" s="84" t="s">
        <v>1464</v>
      </c>
      <c r="D255" s="84" t="s">
        <v>1465</v>
      </c>
      <c r="E255" s="84" t="s">
        <v>1466</v>
      </c>
      <c r="F255" s="84"/>
      <c r="G255" s="84"/>
      <c r="H255" s="84"/>
      <c r="I255" s="84"/>
    </row>
    <row r="256" customFormat="false" ht="22.35" hidden="false" customHeight="true" outlineLevel="0" collapsed="false">
      <c r="A256" s="167" t="s">
        <v>1467</v>
      </c>
      <c r="B256" s="167"/>
      <c r="C256" s="167"/>
      <c r="D256" s="167"/>
      <c r="E256" s="167"/>
      <c r="F256" s="167"/>
      <c r="G256" s="167"/>
      <c r="H256" s="167"/>
      <c r="I256" s="167"/>
    </row>
    <row r="258" customFormat="false" ht="15" hidden="false" customHeight="false" outlineLevel="0" collapsed="false">
      <c r="A258" s="216" t="s">
        <v>1468</v>
      </c>
      <c r="B258" s="216"/>
      <c r="C258" s="216"/>
      <c r="D258" s="216"/>
      <c r="E258" s="216"/>
      <c r="F258" s="216"/>
      <c r="G258" s="216"/>
      <c r="H258" s="216"/>
      <c r="I258" s="216"/>
    </row>
    <row r="259" customFormat="false" ht="15" hidden="false" customHeight="false" outlineLevel="0" collapsed="false">
      <c r="A259" s="212" t="s">
        <v>121</v>
      </c>
      <c r="B259" s="212" t="s">
        <v>92</v>
      </c>
      <c r="C259" s="212" t="s">
        <v>85</v>
      </c>
      <c r="D259" s="212" t="s">
        <v>950</v>
      </c>
      <c r="E259" s="212" t="s">
        <v>98</v>
      </c>
      <c r="F259" s="212" t="s">
        <v>1469</v>
      </c>
      <c r="G259" s="212"/>
      <c r="H259" s="212"/>
      <c r="I259" s="212"/>
    </row>
    <row r="260" customFormat="false" ht="46.25" hidden="false" customHeight="false" outlineLevel="0" collapsed="false">
      <c r="A260" s="213" t="s">
        <v>1470</v>
      </c>
      <c r="B260" s="214" t="n">
        <v>1071</v>
      </c>
      <c r="C260" s="214" t="s">
        <v>1471</v>
      </c>
      <c r="D260" s="214" t="s">
        <v>1472</v>
      </c>
      <c r="E260" s="214" t="n">
        <v>43.3</v>
      </c>
      <c r="F260" s="214" t="s">
        <v>1473</v>
      </c>
      <c r="G260" s="214"/>
      <c r="H260" s="214"/>
      <c r="I260" s="214"/>
    </row>
    <row r="261" customFormat="false" ht="35.05" hidden="false" customHeight="false" outlineLevel="0" collapsed="false">
      <c r="A261" s="213" t="s">
        <v>1474</v>
      </c>
      <c r="B261" s="214" t="n">
        <v>727</v>
      </c>
      <c r="C261" s="214" t="s">
        <v>631</v>
      </c>
      <c r="D261" s="214" t="s">
        <v>1475</v>
      </c>
      <c r="E261" s="214" t="n">
        <v>2.1</v>
      </c>
      <c r="F261" s="214" t="s">
        <v>1476</v>
      </c>
      <c r="G261" s="214"/>
      <c r="H261" s="214"/>
      <c r="I261" s="214"/>
    </row>
    <row r="262" customFormat="false" ht="23.85" hidden="false" customHeight="false" outlineLevel="0" collapsed="false">
      <c r="A262" s="213" t="s">
        <v>1477</v>
      </c>
      <c r="B262" s="214" t="s">
        <v>381</v>
      </c>
      <c r="C262" s="214" t="s">
        <v>847</v>
      </c>
      <c r="D262" s="214" t="s">
        <v>1478</v>
      </c>
      <c r="E262" s="214" t="s">
        <v>381</v>
      </c>
      <c r="F262" s="214" t="s">
        <v>1479</v>
      </c>
      <c r="G262" s="214"/>
      <c r="H262" s="214"/>
      <c r="I262" s="214"/>
    </row>
    <row r="263" customFormat="false" ht="23.85" hidden="false" customHeight="false" outlineLevel="0" collapsed="false">
      <c r="A263" s="213" t="s">
        <v>1480</v>
      </c>
      <c r="B263" s="214" t="s">
        <v>381</v>
      </c>
      <c r="C263" s="214" t="s">
        <v>1481</v>
      </c>
      <c r="D263" s="214" t="s">
        <v>865</v>
      </c>
      <c r="E263" s="214" t="s">
        <v>381</v>
      </c>
      <c r="F263" s="214" t="s">
        <v>1482</v>
      </c>
      <c r="G263" s="214"/>
      <c r="H263" s="214"/>
      <c r="I263" s="214"/>
    </row>
    <row r="264" customFormat="false" ht="15" hidden="false" customHeight="true" outlineLevel="0" collapsed="false">
      <c r="A264" s="167" t="s">
        <v>1483</v>
      </c>
      <c r="B264" s="167"/>
      <c r="C264" s="167"/>
      <c r="D264" s="167"/>
      <c r="E264" s="167"/>
      <c r="F264" s="167"/>
      <c r="G264" s="167"/>
      <c r="H264" s="167"/>
      <c r="I264" s="167"/>
    </row>
    <row r="266" customFormat="false" ht="16.15" hidden="false" customHeight="false" outlineLevel="0" collapsed="false">
      <c r="A266" s="218" t="s">
        <v>1484</v>
      </c>
      <c r="B266" s="218"/>
      <c r="C266" s="218"/>
      <c r="D266" s="218"/>
      <c r="E266" s="218"/>
      <c r="F266" s="218"/>
      <c r="G266" s="218"/>
      <c r="H266" s="218"/>
      <c r="I266" s="218"/>
    </row>
    <row r="267" customFormat="false" ht="15" hidden="false" customHeight="false" outlineLevel="0" collapsed="false">
      <c r="A267" s="219" t="s">
        <v>1485</v>
      </c>
      <c r="B267" s="219"/>
      <c r="C267" s="219"/>
      <c r="D267" s="219"/>
      <c r="E267" s="219"/>
      <c r="F267" s="219"/>
      <c r="G267" s="219"/>
      <c r="H267" s="219"/>
      <c r="I267" s="219"/>
    </row>
    <row r="269" customFormat="false" ht="15" hidden="false" customHeight="false" outlineLevel="0" collapsed="false">
      <c r="A269" s="220" t="s">
        <v>1486</v>
      </c>
      <c r="B269" s="220"/>
      <c r="C269" s="220"/>
      <c r="D269" s="220"/>
      <c r="E269" s="220"/>
      <c r="F269" s="220"/>
      <c r="G269" s="220"/>
      <c r="H269" s="220"/>
      <c r="I269" s="220"/>
    </row>
    <row r="270" customFormat="false" ht="15" hidden="false" customHeight="false" outlineLevel="0" collapsed="false">
      <c r="A270" s="51" t="s">
        <v>1487</v>
      </c>
      <c r="B270" s="51" t="s">
        <v>92</v>
      </c>
      <c r="C270" s="51" t="s">
        <v>85</v>
      </c>
      <c r="D270" s="51" t="s">
        <v>950</v>
      </c>
      <c r="E270" s="51" t="s">
        <v>1371</v>
      </c>
      <c r="F270" s="51" t="s">
        <v>828</v>
      </c>
      <c r="G270" s="51" t="s">
        <v>98</v>
      </c>
      <c r="H270" s="51" t="s">
        <v>433</v>
      </c>
      <c r="I270" s="51" t="s">
        <v>1226</v>
      </c>
    </row>
    <row r="271" customFormat="false" ht="15" hidden="false" customHeight="false" outlineLevel="0" collapsed="false">
      <c r="A271" s="54" t="s">
        <v>1488</v>
      </c>
      <c r="B271" s="54" t="n">
        <v>1690</v>
      </c>
      <c r="C271" s="54" t="s">
        <v>1489</v>
      </c>
      <c r="D271" s="54" t="s">
        <v>1490</v>
      </c>
      <c r="E271" s="54" t="s">
        <v>1491</v>
      </c>
      <c r="F271" s="54" t="s">
        <v>1492</v>
      </c>
      <c r="G271" s="54" t="n">
        <v>62.5</v>
      </c>
      <c r="H271" s="54" t="s">
        <v>1493</v>
      </c>
      <c r="I271" s="54" t="s">
        <v>381</v>
      </c>
    </row>
    <row r="272" customFormat="false" ht="15" hidden="false" customHeight="false" outlineLevel="0" collapsed="false">
      <c r="A272" s="54" t="s">
        <v>1494</v>
      </c>
      <c r="B272" s="54" t="n">
        <v>733</v>
      </c>
      <c r="C272" s="54" t="s">
        <v>846</v>
      </c>
      <c r="D272" s="54" t="s">
        <v>1495</v>
      </c>
      <c r="E272" s="54" t="s">
        <v>1378</v>
      </c>
      <c r="F272" s="54" t="s">
        <v>851</v>
      </c>
      <c r="G272" s="54" t="n">
        <v>154.9</v>
      </c>
      <c r="H272" s="54" t="s">
        <v>850</v>
      </c>
      <c r="I272" s="54" t="s">
        <v>1496</v>
      </c>
    </row>
    <row r="273" customFormat="false" ht="15" hidden="false" customHeight="false" outlineLevel="0" collapsed="false">
      <c r="A273" s="221" t="s">
        <v>1497</v>
      </c>
      <c r="B273" s="221" t="n">
        <v>403</v>
      </c>
      <c r="C273" s="221" t="s">
        <v>1423</v>
      </c>
      <c r="D273" s="221" t="s">
        <v>1436</v>
      </c>
      <c r="E273" s="221" t="s">
        <v>872</v>
      </c>
      <c r="F273" s="221" t="s">
        <v>1441</v>
      </c>
      <c r="G273" s="221" t="n">
        <v>232.8</v>
      </c>
      <c r="H273" s="221" t="s">
        <v>1498</v>
      </c>
      <c r="I273" s="221" t="s">
        <v>1499</v>
      </c>
    </row>
    <row r="274" customFormat="false" ht="15" hidden="false" customHeight="false" outlineLevel="0" collapsed="false">
      <c r="A274" s="52" t="s">
        <v>1500</v>
      </c>
      <c r="B274" s="52" t="n">
        <v>148</v>
      </c>
      <c r="C274" s="52" t="s">
        <v>313</v>
      </c>
      <c r="D274" s="52" t="s">
        <v>1501</v>
      </c>
      <c r="E274" s="52" t="s">
        <v>1502</v>
      </c>
      <c r="F274" s="52" t="s">
        <v>843</v>
      </c>
      <c r="G274" s="52" t="n">
        <v>124.3</v>
      </c>
      <c r="H274" s="52" t="s">
        <v>331</v>
      </c>
      <c r="I274" s="52" t="s">
        <v>1503</v>
      </c>
    </row>
    <row r="275" customFormat="false" ht="15" hidden="false" customHeight="false" outlineLevel="0" collapsed="false">
      <c r="A275" s="54" t="s">
        <v>1504</v>
      </c>
      <c r="B275" s="54" t="n">
        <v>34</v>
      </c>
      <c r="C275" s="54" t="s">
        <v>831</v>
      </c>
      <c r="D275" s="54" t="s">
        <v>1505</v>
      </c>
      <c r="E275" s="54" t="s">
        <v>1506</v>
      </c>
      <c r="F275" s="54" t="s">
        <v>1507</v>
      </c>
      <c r="G275" s="54" t="n">
        <v>74.6</v>
      </c>
      <c r="H275" s="54" t="s">
        <v>1508</v>
      </c>
      <c r="I275" s="54" t="s">
        <v>381</v>
      </c>
    </row>
    <row r="276" customFormat="false" ht="15" hidden="false" customHeight="false" outlineLevel="0" collapsed="false">
      <c r="A276" s="222" t="s">
        <v>1509</v>
      </c>
      <c r="B276" s="222"/>
      <c r="C276" s="222"/>
      <c r="D276" s="222"/>
      <c r="E276" s="222"/>
      <c r="F276" s="222"/>
      <c r="G276" s="222"/>
      <c r="H276" s="222"/>
      <c r="I276" s="222"/>
    </row>
    <row r="278" customFormat="false" ht="15" hidden="false" customHeight="false" outlineLevel="0" collapsed="false">
      <c r="A278" s="220" t="s">
        <v>1510</v>
      </c>
      <c r="B278" s="220"/>
      <c r="C278" s="220"/>
      <c r="D278" s="220"/>
      <c r="E278" s="220"/>
      <c r="F278" s="220"/>
      <c r="G278" s="220"/>
      <c r="H278" s="220"/>
      <c r="I278" s="220"/>
    </row>
    <row r="279" customFormat="false" ht="15" hidden="false" customHeight="false" outlineLevel="0" collapsed="false">
      <c r="A279" s="51" t="s">
        <v>1134</v>
      </c>
      <c r="B279" s="51" t="s">
        <v>1511</v>
      </c>
      <c r="C279" s="51" t="s">
        <v>794</v>
      </c>
      <c r="D279" s="51" t="s">
        <v>950</v>
      </c>
      <c r="E279" s="51" t="s">
        <v>1371</v>
      </c>
      <c r="F279" s="51" t="s">
        <v>828</v>
      </c>
      <c r="G279" s="51" t="s">
        <v>98</v>
      </c>
      <c r="H279" s="51" t="s">
        <v>1512</v>
      </c>
      <c r="I279" s="51" t="s">
        <v>512</v>
      </c>
    </row>
    <row r="280" customFormat="false" ht="15" hidden="false" customHeight="false" outlineLevel="0" collapsed="false">
      <c r="A280" s="221" t="s">
        <v>1513</v>
      </c>
      <c r="B280" s="221" t="n">
        <v>133</v>
      </c>
      <c r="C280" s="221" t="s">
        <v>1514</v>
      </c>
      <c r="D280" s="221" t="s">
        <v>1515</v>
      </c>
      <c r="E280" s="221" t="s">
        <v>1516</v>
      </c>
      <c r="F280" s="221" t="s">
        <v>1415</v>
      </c>
      <c r="G280" s="221" t="n">
        <v>121.2</v>
      </c>
      <c r="H280" s="221" t="s">
        <v>517</v>
      </c>
      <c r="I280" s="221" t="s">
        <v>1517</v>
      </c>
    </row>
    <row r="281" customFormat="false" ht="15" hidden="false" customHeight="false" outlineLevel="0" collapsed="false">
      <c r="A281" s="52" t="s">
        <v>1518</v>
      </c>
      <c r="B281" s="52" t="n">
        <v>49</v>
      </c>
      <c r="C281" s="52" t="s">
        <v>642</v>
      </c>
      <c r="D281" s="52" t="s">
        <v>1519</v>
      </c>
      <c r="E281" s="52" t="s">
        <v>1520</v>
      </c>
      <c r="F281" s="52" t="s">
        <v>859</v>
      </c>
      <c r="G281" s="52" t="n">
        <v>170.5</v>
      </c>
      <c r="H281" s="52" t="s">
        <v>517</v>
      </c>
      <c r="I281" s="52" t="s">
        <v>1521</v>
      </c>
    </row>
    <row r="282" customFormat="false" ht="15" hidden="false" customHeight="false" outlineLevel="0" collapsed="false">
      <c r="A282" s="52" t="s">
        <v>1522</v>
      </c>
      <c r="B282" s="52" t="n">
        <v>32</v>
      </c>
      <c r="C282" s="52" t="s">
        <v>1523</v>
      </c>
      <c r="D282" s="52" t="s">
        <v>1524</v>
      </c>
      <c r="E282" s="52" t="s">
        <v>1525</v>
      </c>
      <c r="F282" s="52" t="s">
        <v>1412</v>
      </c>
      <c r="G282" s="52" t="n">
        <v>50.5</v>
      </c>
      <c r="H282" s="52" t="s">
        <v>517</v>
      </c>
      <c r="I282" s="52" t="s">
        <v>1526</v>
      </c>
    </row>
    <row r="283" customFormat="false" ht="15" hidden="false" customHeight="false" outlineLevel="0" collapsed="false">
      <c r="A283" s="52" t="s">
        <v>1527</v>
      </c>
      <c r="B283" s="52" t="n">
        <v>93</v>
      </c>
      <c r="C283" s="52" t="s">
        <v>1528</v>
      </c>
      <c r="D283" s="52" t="s">
        <v>1529</v>
      </c>
      <c r="E283" s="52" t="s">
        <v>1530</v>
      </c>
      <c r="F283" s="52" t="s">
        <v>1412</v>
      </c>
      <c r="G283" s="52" t="n">
        <v>139.4</v>
      </c>
      <c r="H283" s="52" t="s">
        <v>517</v>
      </c>
      <c r="I283" s="52" t="s">
        <v>1531</v>
      </c>
    </row>
    <row r="284" customFormat="false" ht="15" hidden="false" customHeight="false" outlineLevel="0" collapsed="false">
      <c r="A284" s="55" t="s">
        <v>1532</v>
      </c>
      <c r="B284" s="55"/>
      <c r="C284" s="55"/>
      <c r="D284" s="55"/>
      <c r="E284" s="55"/>
      <c r="F284" s="55"/>
      <c r="G284" s="55"/>
      <c r="H284" s="55"/>
      <c r="I284" s="55"/>
    </row>
    <row r="286" customFormat="false" ht="15" hidden="false" customHeight="false" outlineLevel="0" collapsed="false">
      <c r="A286" s="220" t="s">
        <v>1533</v>
      </c>
      <c r="B286" s="220"/>
      <c r="C286" s="220"/>
      <c r="D286" s="220"/>
      <c r="E286" s="220"/>
      <c r="F286" s="220"/>
      <c r="G286" s="220"/>
      <c r="H286" s="220"/>
      <c r="I286" s="220"/>
    </row>
    <row r="287" customFormat="false" ht="26.85" hidden="false" customHeight="false" outlineLevel="0" collapsed="false">
      <c r="A287" s="51" t="s">
        <v>1134</v>
      </c>
      <c r="B287" s="51" t="s">
        <v>1534</v>
      </c>
      <c r="C287" s="51" t="s">
        <v>1535</v>
      </c>
      <c r="D287" s="51" t="s">
        <v>1536</v>
      </c>
      <c r="E287" s="51" t="s">
        <v>1537</v>
      </c>
      <c r="F287" s="51" t="s">
        <v>1538</v>
      </c>
    </row>
    <row r="288" customFormat="false" ht="15" hidden="false" customHeight="false" outlineLevel="0" collapsed="false">
      <c r="A288" s="54" t="s">
        <v>1539</v>
      </c>
      <c r="B288" s="54" t="s">
        <v>1540</v>
      </c>
      <c r="C288" s="54" t="s">
        <v>1541</v>
      </c>
      <c r="D288" s="54" t="s">
        <v>1542</v>
      </c>
      <c r="E288" s="54" t="s">
        <v>1543</v>
      </c>
      <c r="F288" s="54" t="s">
        <v>517</v>
      </c>
    </row>
    <row r="289" customFormat="false" ht="15" hidden="false" customHeight="false" outlineLevel="0" collapsed="false">
      <c r="A289" s="223" t="s">
        <v>1544</v>
      </c>
      <c r="B289" s="223" t="s">
        <v>1545</v>
      </c>
      <c r="C289" s="223" t="s">
        <v>1546</v>
      </c>
      <c r="D289" s="223" t="s">
        <v>1547</v>
      </c>
      <c r="E289" s="223" t="s">
        <v>843</v>
      </c>
      <c r="F289" s="223" t="s">
        <v>517</v>
      </c>
    </row>
    <row r="290" customFormat="false" ht="15" hidden="false" customHeight="false" outlineLevel="0" collapsed="false">
      <c r="A290" s="54" t="s">
        <v>1548</v>
      </c>
      <c r="B290" s="54" t="s">
        <v>1549</v>
      </c>
      <c r="C290" s="54" t="s">
        <v>1550</v>
      </c>
      <c r="D290" s="54" t="s">
        <v>1551</v>
      </c>
      <c r="E290" s="54" t="s">
        <v>1415</v>
      </c>
      <c r="F290" s="54" t="s">
        <v>517</v>
      </c>
    </row>
    <row r="291" customFormat="false" ht="15" hidden="false" customHeight="false" outlineLevel="0" collapsed="false">
      <c r="A291" s="54" t="s">
        <v>1522</v>
      </c>
      <c r="B291" s="54" t="s">
        <v>1552</v>
      </c>
      <c r="C291" s="54" t="s">
        <v>1553</v>
      </c>
      <c r="D291" s="54" t="s">
        <v>1554</v>
      </c>
      <c r="E291" s="54" t="s">
        <v>1412</v>
      </c>
      <c r="F291" s="54" t="s">
        <v>517</v>
      </c>
    </row>
    <row r="293" customFormat="false" ht="15" hidden="false" customHeight="false" outlineLevel="0" collapsed="false">
      <c r="A293" s="220" t="s">
        <v>1555</v>
      </c>
      <c r="B293" s="220"/>
      <c r="C293" s="220"/>
      <c r="D293" s="220"/>
      <c r="E293" s="220"/>
      <c r="F293" s="220"/>
      <c r="G293" s="220"/>
      <c r="H293" s="220"/>
      <c r="I293" s="220"/>
    </row>
    <row r="294" customFormat="false" ht="26.85" hidden="false" customHeight="false" outlineLevel="0" collapsed="false">
      <c r="A294" s="51" t="s">
        <v>997</v>
      </c>
      <c r="B294" s="51" t="s">
        <v>121</v>
      </c>
      <c r="C294" s="51" t="s">
        <v>1556</v>
      </c>
      <c r="D294" s="51" t="s">
        <v>85</v>
      </c>
      <c r="E294" s="51" t="s">
        <v>950</v>
      </c>
      <c r="F294" s="51" t="s">
        <v>828</v>
      </c>
      <c r="G294" s="51" t="s">
        <v>98</v>
      </c>
      <c r="H294" s="51" t="s">
        <v>1557</v>
      </c>
      <c r="I294" s="51" t="s">
        <v>1558</v>
      </c>
    </row>
    <row r="295" customFormat="false" ht="15" hidden="false" customHeight="false" outlineLevel="0" collapsed="false">
      <c r="A295" s="52" t="s">
        <v>1559</v>
      </c>
      <c r="B295" s="52" t="s">
        <v>1560</v>
      </c>
      <c r="C295" s="52" t="s">
        <v>1561</v>
      </c>
      <c r="D295" s="52" t="s">
        <v>831</v>
      </c>
      <c r="E295" s="52" t="s">
        <v>1562</v>
      </c>
      <c r="F295" s="52" t="s">
        <v>836</v>
      </c>
      <c r="G295" s="52" t="n">
        <v>146.2</v>
      </c>
      <c r="H295" s="52" t="s">
        <v>381</v>
      </c>
      <c r="I295" s="52" t="s">
        <v>1563</v>
      </c>
    </row>
    <row r="296" customFormat="false" ht="15" hidden="false" customHeight="false" outlineLevel="0" collapsed="false">
      <c r="A296" s="54" t="s">
        <v>1564</v>
      </c>
      <c r="B296" s="54" t="s">
        <v>1565</v>
      </c>
      <c r="C296" s="54" t="s">
        <v>1566</v>
      </c>
      <c r="D296" s="54" t="s">
        <v>839</v>
      </c>
      <c r="E296" s="54" t="s">
        <v>1567</v>
      </c>
      <c r="F296" s="54" t="s">
        <v>843</v>
      </c>
      <c r="G296" s="54" t="n">
        <v>235.7</v>
      </c>
      <c r="H296" s="54" t="s">
        <v>1568</v>
      </c>
      <c r="I296" s="54" t="s">
        <v>1563</v>
      </c>
    </row>
    <row r="297" customFormat="false" ht="15" hidden="false" customHeight="false" outlineLevel="0" collapsed="false">
      <c r="A297" s="54" t="s">
        <v>1569</v>
      </c>
      <c r="B297" s="54" t="s">
        <v>1539</v>
      </c>
      <c r="C297" s="54" t="s">
        <v>1570</v>
      </c>
      <c r="D297" s="54" t="s">
        <v>846</v>
      </c>
      <c r="E297" s="54" t="s">
        <v>1495</v>
      </c>
      <c r="F297" s="54" t="s">
        <v>851</v>
      </c>
      <c r="G297" s="54" t="n">
        <v>154.9</v>
      </c>
      <c r="H297" s="54" t="s">
        <v>1571</v>
      </c>
      <c r="I297" s="54" t="s">
        <v>1563</v>
      </c>
    </row>
    <row r="298" customFormat="false" ht="15" hidden="false" customHeight="false" outlineLevel="0" collapsed="false">
      <c r="A298" s="53" t="s">
        <v>1572</v>
      </c>
      <c r="B298" s="53" t="s">
        <v>1573</v>
      </c>
      <c r="C298" s="53" t="s">
        <v>1574</v>
      </c>
      <c r="D298" s="53" t="s">
        <v>839</v>
      </c>
      <c r="E298" s="53" t="s">
        <v>1567</v>
      </c>
      <c r="F298" s="53" t="s">
        <v>843</v>
      </c>
      <c r="G298" s="53" t="n">
        <v>235.7</v>
      </c>
      <c r="H298" s="53" t="s">
        <v>1177</v>
      </c>
      <c r="I298" s="53" t="s">
        <v>1563</v>
      </c>
    </row>
    <row r="299" customFormat="false" ht="15" hidden="false" customHeight="false" outlineLevel="0" collapsed="false">
      <c r="A299" s="54" t="s">
        <v>1575</v>
      </c>
      <c r="B299" s="54" t="s">
        <v>1576</v>
      </c>
      <c r="C299" s="54" t="s">
        <v>481</v>
      </c>
      <c r="D299" s="54" t="s">
        <v>846</v>
      </c>
      <c r="E299" s="54" t="s">
        <v>1495</v>
      </c>
      <c r="F299" s="54" t="s">
        <v>851</v>
      </c>
      <c r="G299" s="54" t="n">
        <v>154.9</v>
      </c>
      <c r="H299" s="54" t="s">
        <v>1577</v>
      </c>
      <c r="I299" s="54" t="s">
        <v>1563</v>
      </c>
    </row>
    <row r="301" customFormat="false" ht="15" hidden="false" customHeight="false" outlineLevel="0" collapsed="false">
      <c r="A301" s="220" t="s">
        <v>1578</v>
      </c>
      <c r="B301" s="220"/>
      <c r="C301" s="220"/>
      <c r="D301" s="220"/>
      <c r="E301" s="220"/>
      <c r="F301" s="220"/>
      <c r="G301" s="220"/>
      <c r="H301" s="220"/>
      <c r="I301" s="220"/>
    </row>
    <row r="302" customFormat="false" ht="26.85" hidden="false" customHeight="false" outlineLevel="0" collapsed="false">
      <c r="A302" s="51" t="s">
        <v>150</v>
      </c>
      <c r="B302" s="51" t="s">
        <v>1579</v>
      </c>
      <c r="C302" s="51" t="s">
        <v>122</v>
      </c>
      <c r="D302" s="51" t="s">
        <v>1580</v>
      </c>
      <c r="E302" s="51" t="s">
        <v>242</v>
      </c>
    </row>
    <row r="303" customFormat="false" ht="15" hidden="false" customHeight="false" outlineLevel="0" collapsed="false">
      <c r="A303" s="54" t="s">
        <v>1056</v>
      </c>
      <c r="B303" s="54" t="s">
        <v>1581</v>
      </c>
      <c r="C303" s="54" t="s">
        <v>1582</v>
      </c>
      <c r="D303" s="54" t="n">
        <v>783</v>
      </c>
      <c r="E303" s="54" t="s">
        <v>205</v>
      </c>
    </row>
    <row r="304" customFormat="false" ht="15" hidden="false" customHeight="false" outlineLevel="0" collapsed="false">
      <c r="A304" s="54" t="s">
        <v>1063</v>
      </c>
      <c r="B304" s="54" t="s">
        <v>1583</v>
      </c>
      <c r="C304" s="54" t="s">
        <v>1584</v>
      </c>
      <c r="D304" s="54" t="s">
        <v>381</v>
      </c>
      <c r="E304" s="54" t="s">
        <v>205</v>
      </c>
    </row>
    <row r="305" customFormat="false" ht="15" hidden="false" customHeight="false" outlineLevel="0" collapsed="false">
      <c r="A305" s="54" t="s">
        <v>551</v>
      </c>
      <c r="B305" s="54" t="s">
        <v>1585</v>
      </c>
      <c r="C305" s="54" t="s">
        <v>1586</v>
      </c>
      <c r="D305" s="54" t="s">
        <v>381</v>
      </c>
      <c r="E305" s="54" t="s">
        <v>1587</v>
      </c>
    </row>
    <row r="306" customFormat="false" ht="15" hidden="false" customHeight="false" outlineLevel="0" collapsed="false">
      <c r="A306" s="54" t="s">
        <v>545</v>
      </c>
      <c r="B306" s="54" t="s">
        <v>1588</v>
      </c>
      <c r="C306" s="54" t="s">
        <v>1589</v>
      </c>
      <c r="D306" s="54" t="s">
        <v>1590</v>
      </c>
      <c r="E306" s="54" t="s">
        <v>209</v>
      </c>
    </row>
    <row r="307" customFormat="false" ht="15" hidden="false" customHeight="false" outlineLevel="0" collapsed="false">
      <c r="A307" s="54" t="s">
        <v>1394</v>
      </c>
      <c r="B307" s="54" t="s">
        <v>1591</v>
      </c>
      <c r="C307" s="54" t="s">
        <v>1592</v>
      </c>
      <c r="D307" s="54" t="s">
        <v>1593</v>
      </c>
      <c r="E307" s="54" t="s">
        <v>209</v>
      </c>
    </row>
    <row r="308" customFormat="false" ht="15" hidden="false" customHeight="false" outlineLevel="0" collapsed="false">
      <c r="A308" s="54" t="s">
        <v>1398</v>
      </c>
      <c r="B308" s="54" t="s">
        <v>1594</v>
      </c>
      <c r="C308" s="54" t="s">
        <v>1595</v>
      </c>
      <c r="D308" s="54" t="s">
        <v>381</v>
      </c>
      <c r="E308" s="54" t="s">
        <v>934</v>
      </c>
    </row>
    <row r="309" customFormat="false" ht="15" hidden="false" customHeight="false" outlineLevel="0" collapsed="false">
      <c r="A309" s="54" t="s">
        <v>541</v>
      </c>
      <c r="B309" s="54" t="s">
        <v>1596</v>
      </c>
      <c r="C309" s="54" t="s">
        <v>1597</v>
      </c>
      <c r="D309" s="54" t="s">
        <v>381</v>
      </c>
      <c r="E309" s="54" t="s">
        <v>222</v>
      </c>
    </row>
    <row r="310" customFormat="false" ht="15" hidden="false" customHeight="false" outlineLevel="0" collapsed="false">
      <c r="A310" s="54" t="s">
        <v>1598</v>
      </c>
      <c r="B310" s="54" t="s">
        <v>1599</v>
      </c>
      <c r="C310" s="54" t="s">
        <v>1600</v>
      </c>
      <c r="D310" s="54" t="s">
        <v>1601</v>
      </c>
      <c r="E310" s="54" t="s">
        <v>222</v>
      </c>
    </row>
    <row r="311" customFormat="false" ht="15" hidden="false" customHeight="false" outlineLevel="0" collapsed="false">
      <c r="A311" s="54" t="s">
        <v>1602</v>
      </c>
      <c r="B311" s="54" t="s">
        <v>1603</v>
      </c>
      <c r="C311" s="54" t="s">
        <v>1604</v>
      </c>
      <c r="D311" s="54" t="s">
        <v>527</v>
      </c>
      <c r="E311" s="54" t="s">
        <v>213</v>
      </c>
    </row>
    <row r="312" customFormat="false" ht="15" hidden="false" customHeight="false" outlineLevel="0" collapsed="false">
      <c r="A312" s="54" t="s">
        <v>1605</v>
      </c>
      <c r="B312" s="54" t="s">
        <v>1606</v>
      </c>
      <c r="C312" s="54" t="s">
        <v>1607</v>
      </c>
      <c r="D312" s="54" t="s">
        <v>381</v>
      </c>
      <c r="E312" s="54" t="s">
        <v>209</v>
      </c>
    </row>
    <row r="314" customFormat="false" ht="15" hidden="false" customHeight="false" outlineLevel="0" collapsed="false">
      <c r="A314" s="220" t="s">
        <v>1608</v>
      </c>
      <c r="B314" s="220"/>
      <c r="C314" s="220"/>
      <c r="D314" s="220"/>
      <c r="E314" s="220"/>
      <c r="F314" s="220"/>
      <c r="G314" s="220"/>
      <c r="H314" s="220"/>
      <c r="I314" s="220"/>
    </row>
    <row r="315" customFormat="false" ht="15" hidden="false" customHeight="false" outlineLevel="0" collapsed="false">
      <c r="A315" s="224" t="s">
        <v>1609</v>
      </c>
      <c r="B315" s="224"/>
      <c r="C315" s="224"/>
      <c r="D315" s="224"/>
      <c r="E315" s="224"/>
      <c r="F315" s="224"/>
      <c r="G315" s="224"/>
      <c r="H315" s="224"/>
      <c r="I315" s="224"/>
    </row>
    <row r="316" customFormat="false" ht="15" hidden="false" customHeight="false" outlineLevel="0" collapsed="false">
      <c r="A316" s="224" t="s">
        <v>1610</v>
      </c>
      <c r="B316" s="224"/>
      <c r="C316" s="224"/>
      <c r="D316" s="224"/>
      <c r="E316" s="224"/>
      <c r="F316" s="224"/>
      <c r="G316" s="224"/>
      <c r="H316" s="224"/>
      <c r="I316" s="224"/>
    </row>
    <row r="317" customFormat="false" ht="15" hidden="false" customHeight="false" outlineLevel="0" collapsed="false">
      <c r="A317" s="224" t="s">
        <v>1611</v>
      </c>
      <c r="B317" s="224"/>
      <c r="C317" s="224"/>
      <c r="D317" s="224"/>
      <c r="E317" s="224"/>
      <c r="F317" s="224"/>
      <c r="G317" s="224"/>
      <c r="H317" s="224"/>
      <c r="I317" s="224"/>
    </row>
    <row r="318" customFormat="false" ht="15" hidden="false" customHeight="false" outlineLevel="0" collapsed="false">
      <c r="A318" s="224" t="s">
        <v>1612</v>
      </c>
      <c r="B318" s="224"/>
      <c r="C318" s="224"/>
      <c r="D318" s="224"/>
      <c r="E318" s="224"/>
      <c r="F318" s="224"/>
      <c r="G318" s="224"/>
      <c r="H318" s="224"/>
      <c r="I318" s="224"/>
    </row>
    <row r="319" customFormat="false" ht="15" hidden="false" customHeight="false" outlineLevel="0" collapsed="false">
      <c r="A319" s="224" t="s">
        <v>1613</v>
      </c>
      <c r="B319" s="224"/>
      <c r="C319" s="224"/>
      <c r="D319" s="224"/>
      <c r="E319" s="224"/>
      <c r="F319" s="224"/>
      <c r="G319" s="224"/>
      <c r="H319" s="224"/>
      <c r="I319" s="224"/>
    </row>
    <row r="320" customFormat="false" ht="15" hidden="false" customHeight="false" outlineLevel="0" collapsed="false">
      <c r="A320" s="224" t="s">
        <v>1614</v>
      </c>
      <c r="B320" s="224"/>
      <c r="C320" s="224"/>
      <c r="D320" s="224"/>
      <c r="E320" s="224"/>
      <c r="F320" s="224"/>
      <c r="G320" s="224"/>
      <c r="H320" s="224"/>
      <c r="I320" s="224"/>
    </row>
    <row r="321" customFormat="false" ht="15" hidden="false" customHeight="false" outlineLevel="0" collapsed="false">
      <c r="A321" s="224" t="s">
        <v>1615</v>
      </c>
      <c r="B321" s="224"/>
      <c r="C321" s="224"/>
      <c r="D321" s="224"/>
      <c r="E321" s="224"/>
      <c r="F321" s="224"/>
      <c r="G321" s="224"/>
      <c r="H321" s="224"/>
      <c r="I321" s="224"/>
    </row>
    <row r="322" customFormat="false" ht="15" hidden="false" customHeight="false" outlineLevel="0" collapsed="false">
      <c r="A322" s="224" t="s">
        <v>1616</v>
      </c>
      <c r="B322" s="224"/>
      <c r="C322" s="224"/>
      <c r="D322" s="224"/>
      <c r="E322" s="224"/>
      <c r="F322" s="224"/>
      <c r="G322" s="224"/>
      <c r="H322" s="224"/>
      <c r="I322" s="224"/>
    </row>
    <row r="323" customFormat="false" ht="15" hidden="false" customHeight="false" outlineLevel="0" collapsed="false">
      <c r="A323" s="224" t="s">
        <v>1617</v>
      </c>
      <c r="B323" s="224"/>
      <c r="C323" s="224"/>
      <c r="D323" s="224"/>
      <c r="E323" s="224"/>
      <c r="F323" s="224"/>
      <c r="G323" s="224"/>
      <c r="H323" s="224"/>
      <c r="I323" s="224"/>
    </row>
    <row r="324" customFormat="false" ht="15" hidden="false" customHeight="false" outlineLevel="0" collapsed="false">
      <c r="A324" s="224" t="s">
        <v>1618</v>
      </c>
      <c r="B324" s="224"/>
      <c r="C324" s="224"/>
      <c r="D324" s="224"/>
      <c r="E324" s="224"/>
      <c r="F324" s="224"/>
      <c r="G324" s="224"/>
      <c r="H324" s="224"/>
      <c r="I324" s="224"/>
    </row>
    <row r="325" customFormat="false" ht="15" hidden="false" customHeight="false" outlineLevel="0" collapsed="false">
      <c r="A325" s="224" t="s">
        <v>1619</v>
      </c>
      <c r="B325" s="224"/>
      <c r="C325" s="224"/>
      <c r="D325" s="224"/>
      <c r="E325" s="224"/>
      <c r="F325" s="224"/>
      <c r="G325" s="224"/>
      <c r="H325" s="224"/>
      <c r="I325" s="224"/>
    </row>
    <row r="326" customFormat="false" ht="15" hidden="false" customHeight="false" outlineLevel="0" collapsed="false">
      <c r="A326" s="224" t="s">
        <v>1620</v>
      </c>
      <c r="B326" s="224"/>
      <c r="C326" s="224"/>
      <c r="D326" s="224"/>
      <c r="E326" s="224"/>
      <c r="F326" s="224"/>
      <c r="G326" s="224"/>
      <c r="H326" s="224"/>
      <c r="I326" s="224"/>
    </row>
  </sheetData>
  <mergeCells count="101">
    <mergeCell ref="A1:I1"/>
    <mergeCell ref="A2:I2"/>
    <mergeCell ref="A4:I4"/>
    <mergeCell ref="A12:I12"/>
    <mergeCell ref="A36:I36"/>
    <mergeCell ref="A37:I37"/>
    <mergeCell ref="A41:I41"/>
    <mergeCell ref="A55:I55"/>
    <mergeCell ref="B55:I55"/>
    <mergeCell ref="B56:I56"/>
    <mergeCell ref="B57:I57"/>
    <mergeCell ref="B58:I58"/>
    <mergeCell ref="A62:I62"/>
    <mergeCell ref="A64:I64"/>
    <mergeCell ref="A65:I65"/>
    <mergeCell ref="A66:I66"/>
    <mergeCell ref="A67:I67"/>
    <mergeCell ref="A68:I68"/>
    <mergeCell ref="A72:I72"/>
    <mergeCell ref="A74:I74"/>
    <mergeCell ref="A75:I75"/>
    <mergeCell ref="A76:I76"/>
    <mergeCell ref="A77:I77"/>
    <mergeCell ref="A81:I81"/>
    <mergeCell ref="A85:I85"/>
    <mergeCell ref="A94:I94"/>
    <mergeCell ref="A95:I95"/>
    <mergeCell ref="A104:I104"/>
    <mergeCell ref="B105:I105"/>
    <mergeCell ref="B106:I106"/>
    <mergeCell ref="B107:I107"/>
    <mergeCell ref="B108:I108"/>
    <mergeCell ref="A110:I110"/>
    <mergeCell ref="A111:I111"/>
    <mergeCell ref="A112:I112"/>
    <mergeCell ref="A113:I113"/>
    <mergeCell ref="A114:I114"/>
    <mergeCell ref="B115:I115"/>
    <mergeCell ref="B116:I116"/>
    <mergeCell ref="B117:I117"/>
    <mergeCell ref="B118:I118"/>
    <mergeCell ref="A120:I120"/>
    <mergeCell ref="A121:I121"/>
    <mergeCell ref="A122:I122"/>
    <mergeCell ref="A123:I123"/>
    <mergeCell ref="A124:I124"/>
    <mergeCell ref="A126:I126"/>
    <mergeCell ref="A127:I127"/>
    <mergeCell ref="A129:I129"/>
    <mergeCell ref="A139:I139"/>
    <mergeCell ref="A141:I141"/>
    <mergeCell ref="A147:I147"/>
    <mergeCell ref="A149:I149"/>
    <mergeCell ref="A155:I155"/>
    <mergeCell ref="A157:I157"/>
    <mergeCell ref="A162:I162"/>
    <mergeCell ref="A164:I164"/>
    <mergeCell ref="A169:I169"/>
    <mergeCell ref="A171:I171"/>
    <mergeCell ref="A178:I178"/>
    <mergeCell ref="A180:I180"/>
    <mergeCell ref="A186:I186"/>
    <mergeCell ref="A188:I188"/>
    <mergeCell ref="A194:I194"/>
    <mergeCell ref="A200:I200"/>
    <mergeCell ref="A201:I201"/>
    <mergeCell ref="A203:I203"/>
    <mergeCell ref="A208:I208"/>
    <mergeCell ref="A210:I210"/>
    <mergeCell ref="A219:I219"/>
    <mergeCell ref="A227:I227"/>
    <mergeCell ref="A229:I229"/>
    <mergeCell ref="A236:I236"/>
    <mergeCell ref="A238:I238"/>
    <mergeCell ref="A248:I248"/>
    <mergeCell ref="A250:I250"/>
    <mergeCell ref="A256:I256"/>
    <mergeCell ref="A258:I258"/>
    <mergeCell ref="A264:I264"/>
    <mergeCell ref="A266:I266"/>
    <mergeCell ref="A267:I267"/>
    <mergeCell ref="A269:I269"/>
    <mergeCell ref="A276:I276"/>
    <mergeCell ref="A278:I278"/>
    <mergeCell ref="A284:I284"/>
    <mergeCell ref="A286:I286"/>
    <mergeCell ref="A293:I293"/>
    <mergeCell ref="A301:I301"/>
    <mergeCell ref="A314:I314"/>
    <mergeCell ref="A315:I315"/>
    <mergeCell ref="A316:I316"/>
    <mergeCell ref="A317:I317"/>
    <mergeCell ref="A318:I318"/>
    <mergeCell ref="A319:I319"/>
    <mergeCell ref="A320:I320"/>
    <mergeCell ref="A321:I321"/>
    <mergeCell ref="A322:I322"/>
    <mergeCell ref="A323:I323"/>
    <mergeCell ref="A324:I324"/>
    <mergeCell ref="A325:I325"/>
    <mergeCell ref="A326:I326"/>
  </mergeCells>
  <printOptions headings="false" gridLines="false" gridLinesSet="true" horizontalCentered="false" verticalCentered="false"/>
  <pageMargins left="0.4" right="0.4" top="0.5" bottom="0.5" header="0.25" footer="0.25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&amp;CWillis Holdings</oddHeader>
    <oddFooter>&amp;CCONFIDENTIAL  | 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472C4"/>
    <pageSetUpPr fitToPage="false"/>
  </sheetPr>
  <dimension ref="A1:H7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42"/>
    <col collapsed="false" customWidth="true" hidden="false" outlineLevel="0" max="4" min="3" style="1" width="10"/>
    <col collapsed="false" customWidth="true" hidden="false" outlineLevel="0" max="5" min="5" style="1" width="14"/>
    <col collapsed="false" customWidth="true" hidden="false" outlineLevel="0" max="6" min="6" style="1" width="12"/>
    <col collapsed="false" customWidth="true" hidden="false" outlineLevel="0" max="7" min="7" style="1" width="10"/>
    <col collapsed="false" customWidth="true" hidden="false" outlineLevel="0" max="8" min="8" style="1" width="40"/>
  </cols>
  <sheetData>
    <row r="1" customFormat="false" ht="24" hidden="false" customHeight="true" outlineLevel="0" collapsed="false">
      <c r="A1" s="2" t="s">
        <v>1621</v>
      </c>
      <c r="B1" s="2"/>
      <c r="C1" s="2"/>
      <c r="D1" s="2"/>
      <c r="E1" s="2"/>
      <c r="F1" s="2"/>
      <c r="G1" s="2"/>
      <c r="H1" s="2"/>
    </row>
    <row r="2" customFormat="false" ht="21.75" hidden="false" customHeight="true" outlineLevel="0" collapsed="false">
      <c r="A2" s="23" t="s">
        <v>1622</v>
      </c>
      <c r="B2" s="23"/>
      <c r="C2" s="23"/>
      <c r="D2" s="23"/>
      <c r="E2" s="23"/>
      <c r="F2" s="23"/>
      <c r="G2" s="23"/>
      <c r="H2" s="23"/>
    </row>
    <row r="3" customFormat="false" ht="6" hidden="false" customHeight="true" outlineLevel="0" collapsed="false">
      <c r="A3" s="4"/>
      <c r="B3" s="5"/>
      <c r="C3" s="5"/>
      <c r="D3" s="5"/>
      <c r="E3" s="5"/>
      <c r="F3" s="5"/>
      <c r="G3" s="5"/>
      <c r="H3" s="5"/>
    </row>
    <row r="4" customFormat="false" ht="24" hidden="false" customHeight="true" outlineLevel="0" collapsed="false">
      <c r="A4" s="6" t="s">
        <v>1623</v>
      </c>
      <c r="B4" s="6"/>
      <c r="C4" s="6"/>
      <c r="D4" s="6"/>
      <c r="E4" s="6"/>
      <c r="F4" s="6"/>
      <c r="G4" s="6"/>
      <c r="H4" s="6"/>
    </row>
    <row r="5" customFormat="false" ht="24" hidden="false" customHeight="true" outlineLevel="0" collapsed="false">
      <c r="A5" s="24" t="s">
        <v>150</v>
      </c>
      <c r="B5" s="25" t="s">
        <v>1624</v>
      </c>
      <c r="C5" s="25" t="s">
        <v>794</v>
      </c>
      <c r="D5" s="25" t="s">
        <v>950</v>
      </c>
      <c r="E5" s="25" t="s">
        <v>1625</v>
      </c>
      <c r="F5" s="25" t="s">
        <v>98</v>
      </c>
      <c r="G5" s="25" t="s">
        <v>242</v>
      </c>
      <c r="H5" s="25" t="s">
        <v>1626</v>
      </c>
    </row>
    <row r="6" customFormat="false" ht="21.75" hidden="false" customHeight="true" outlineLevel="0" collapsed="false">
      <c r="A6" s="225" t="n">
        <v>1</v>
      </c>
      <c r="B6" s="226" t="s">
        <v>1627</v>
      </c>
      <c r="C6" s="226" t="s">
        <v>292</v>
      </c>
      <c r="D6" s="226" t="s">
        <v>293</v>
      </c>
      <c r="E6" s="226" t="n">
        <v>8</v>
      </c>
      <c r="F6" s="226" t="s">
        <v>381</v>
      </c>
      <c r="G6" s="226" t="s">
        <v>205</v>
      </c>
      <c r="H6" s="226" t="s">
        <v>1628</v>
      </c>
    </row>
    <row r="7" customFormat="false" ht="21.75" hidden="false" customHeight="true" outlineLevel="0" collapsed="false">
      <c r="A7" s="225" t="n">
        <v>2</v>
      </c>
      <c r="B7" s="226" t="s">
        <v>1629</v>
      </c>
      <c r="C7" s="226" t="s">
        <v>295</v>
      </c>
      <c r="D7" s="226" t="s">
        <v>296</v>
      </c>
      <c r="E7" s="226" t="s">
        <v>1630</v>
      </c>
      <c r="F7" s="226" t="s">
        <v>381</v>
      </c>
      <c r="G7" s="226" t="s">
        <v>1631</v>
      </c>
      <c r="H7" s="226" t="s">
        <v>1632</v>
      </c>
    </row>
    <row r="8" customFormat="false" ht="21.75" hidden="false" customHeight="true" outlineLevel="0" collapsed="false">
      <c r="A8" s="225" t="n">
        <v>3</v>
      </c>
      <c r="B8" s="226" t="s">
        <v>1633</v>
      </c>
      <c r="C8" s="226" t="s">
        <v>298</v>
      </c>
      <c r="D8" s="226" t="s">
        <v>299</v>
      </c>
      <c r="E8" s="226" t="n">
        <v>26</v>
      </c>
      <c r="F8" s="226" t="n">
        <v>30.5</v>
      </c>
      <c r="G8" s="226" t="s">
        <v>300</v>
      </c>
      <c r="H8" s="226" t="s">
        <v>1634</v>
      </c>
    </row>
    <row r="9" customFormat="false" ht="21.75" hidden="false" customHeight="true" outlineLevel="0" collapsed="false">
      <c r="A9" s="225" t="n">
        <v>4</v>
      </c>
      <c r="B9" s="226" t="s">
        <v>1635</v>
      </c>
      <c r="C9" s="226" t="s">
        <v>245</v>
      </c>
      <c r="D9" s="226" t="s">
        <v>246</v>
      </c>
      <c r="E9" s="226" t="n">
        <v>117</v>
      </c>
      <c r="F9" s="226" t="s">
        <v>381</v>
      </c>
      <c r="G9" s="226" t="s">
        <v>231</v>
      </c>
      <c r="H9" s="226" t="s">
        <v>1636</v>
      </c>
    </row>
    <row r="10" customFormat="false" ht="21.75" hidden="false" customHeight="true" outlineLevel="0" collapsed="false">
      <c r="A10" s="225" t="n">
        <v>5</v>
      </c>
      <c r="B10" s="226" t="s">
        <v>1637</v>
      </c>
      <c r="C10" s="226" t="s">
        <v>249</v>
      </c>
      <c r="D10" s="226" t="s">
        <v>250</v>
      </c>
      <c r="E10" s="226" t="n">
        <v>109</v>
      </c>
      <c r="F10" s="226" t="s">
        <v>381</v>
      </c>
      <c r="G10" s="226" t="s">
        <v>231</v>
      </c>
      <c r="H10" s="226" t="s">
        <v>1638</v>
      </c>
    </row>
    <row r="11" customFormat="false" ht="21.75" hidden="false" customHeight="true" outlineLevel="0" collapsed="false">
      <c r="A11" s="225" t="n">
        <v>6</v>
      </c>
      <c r="B11" s="226" t="s">
        <v>1639</v>
      </c>
      <c r="C11" s="226" t="s">
        <v>308</v>
      </c>
      <c r="D11" s="226" t="s">
        <v>309</v>
      </c>
      <c r="E11" s="226" t="n">
        <v>13</v>
      </c>
      <c r="F11" s="226" t="s">
        <v>381</v>
      </c>
      <c r="G11" s="226" t="s">
        <v>205</v>
      </c>
      <c r="H11" s="226" t="s">
        <v>1640</v>
      </c>
    </row>
    <row r="12" customFormat="false" ht="21.75" hidden="false" customHeight="true" outlineLevel="0" collapsed="false">
      <c r="A12" s="225" t="n">
        <v>7</v>
      </c>
      <c r="B12" s="226" t="s">
        <v>1641</v>
      </c>
      <c r="C12" s="226" t="s">
        <v>308</v>
      </c>
      <c r="D12" s="226" t="s">
        <v>311</v>
      </c>
      <c r="E12" s="226" t="n">
        <v>134</v>
      </c>
      <c r="F12" s="226" t="s">
        <v>381</v>
      </c>
      <c r="G12" s="226" t="s">
        <v>231</v>
      </c>
      <c r="H12" s="226" t="s">
        <v>1642</v>
      </c>
    </row>
    <row r="13" customFormat="false" ht="21.75" hidden="false" customHeight="true" outlineLevel="0" collapsed="false">
      <c r="A13" s="225" t="n">
        <v>8</v>
      </c>
      <c r="B13" s="226" t="s">
        <v>312</v>
      </c>
      <c r="C13" s="226" t="s">
        <v>313</v>
      </c>
      <c r="D13" s="226" t="s">
        <v>314</v>
      </c>
      <c r="E13" s="226" t="n">
        <v>16</v>
      </c>
      <c r="F13" s="226" t="n">
        <v>22.5</v>
      </c>
      <c r="G13" s="226" t="s">
        <v>198</v>
      </c>
      <c r="H13" s="226" t="s">
        <v>1643</v>
      </c>
    </row>
    <row r="14" customFormat="false" ht="6" hidden="false" customHeight="true" outlineLevel="0" collapsed="false">
      <c r="A14" s="4"/>
      <c r="B14" s="5"/>
      <c r="C14" s="5"/>
      <c r="D14" s="5"/>
      <c r="E14" s="5"/>
      <c r="F14" s="5"/>
      <c r="G14" s="5"/>
      <c r="H14" s="5"/>
    </row>
    <row r="15" customFormat="false" ht="24" hidden="false" customHeight="true" outlineLevel="0" collapsed="false">
      <c r="A15" s="6" t="s">
        <v>1644</v>
      </c>
      <c r="B15" s="6"/>
      <c r="C15" s="6"/>
      <c r="D15" s="6"/>
      <c r="E15" s="6"/>
      <c r="F15" s="6"/>
      <c r="G15" s="6"/>
      <c r="H15" s="6"/>
    </row>
    <row r="16" customFormat="false" ht="24" hidden="false" customHeight="true" outlineLevel="0" collapsed="false">
      <c r="A16" s="24" t="s">
        <v>150</v>
      </c>
      <c r="B16" s="25" t="s">
        <v>1624</v>
      </c>
      <c r="C16" s="25" t="s">
        <v>794</v>
      </c>
      <c r="D16" s="25" t="s">
        <v>950</v>
      </c>
      <c r="E16" s="25" t="s">
        <v>1625</v>
      </c>
      <c r="F16" s="25" t="s">
        <v>98</v>
      </c>
      <c r="G16" s="25" t="s">
        <v>242</v>
      </c>
      <c r="H16" s="25" t="s">
        <v>1626</v>
      </c>
    </row>
    <row r="17" customFormat="false" ht="27.75" hidden="false" customHeight="true" outlineLevel="0" collapsed="false">
      <c r="A17" s="26" t="n">
        <v>9</v>
      </c>
      <c r="B17" s="27" t="s">
        <v>1645</v>
      </c>
      <c r="C17" s="27" t="s">
        <v>259</v>
      </c>
      <c r="D17" s="27" t="s">
        <v>260</v>
      </c>
      <c r="E17" s="27" t="n">
        <v>148</v>
      </c>
      <c r="F17" s="27" t="s">
        <v>381</v>
      </c>
      <c r="G17" s="27" t="s">
        <v>231</v>
      </c>
      <c r="H17" s="27" t="s">
        <v>1646</v>
      </c>
    </row>
    <row r="18" customFormat="false" ht="27.75" hidden="false" customHeight="true" outlineLevel="0" collapsed="false">
      <c r="A18" s="26" t="n">
        <v>10</v>
      </c>
      <c r="B18" s="27" t="s">
        <v>319</v>
      </c>
      <c r="C18" s="27" t="s">
        <v>320</v>
      </c>
      <c r="D18" s="27" t="s">
        <v>321</v>
      </c>
      <c r="E18" s="27" t="n">
        <v>11</v>
      </c>
      <c r="F18" s="27" t="n">
        <v>33.5</v>
      </c>
      <c r="G18" s="27" t="s">
        <v>198</v>
      </c>
      <c r="H18" s="27" t="s">
        <v>1647</v>
      </c>
    </row>
    <row r="19" customFormat="false" ht="27.75" hidden="false" customHeight="true" outlineLevel="0" collapsed="false">
      <c r="A19" s="26" t="n">
        <v>11</v>
      </c>
      <c r="B19" s="27" t="s">
        <v>1648</v>
      </c>
      <c r="C19" s="27" t="s">
        <v>259</v>
      </c>
      <c r="D19" s="27" t="s">
        <v>318</v>
      </c>
      <c r="E19" s="27" t="n">
        <v>140</v>
      </c>
      <c r="F19" s="27" t="s">
        <v>381</v>
      </c>
      <c r="G19" s="27" t="s">
        <v>231</v>
      </c>
      <c r="H19" s="27" t="s">
        <v>1649</v>
      </c>
    </row>
    <row r="20" customFormat="false" ht="27.75" hidden="false" customHeight="true" outlineLevel="0" collapsed="false">
      <c r="A20" s="26" t="n">
        <v>12</v>
      </c>
      <c r="B20" s="27" t="s">
        <v>1650</v>
      </c>
      <c r="C20" s="27" t="s">
        <v>323</v>
      </c>
      <c r="D20" s="27" t="s">
        <v>324</v>
      </c>
      <c r="E20" s="27" t="n">
        <v>54</v>
      </c>
      <c r="F20" s="27" t="s">
        <v>381</v>
      </c>
      <c r="G20" s="27" t="s">
        <v>226</v>
      </c>
      <c r="H20" s="27" t="s">
        <v>1651</v>
      </c>
    </row>
    <row r="21" customFormat="false" ht="27.75" hidden="false" customHeight="true" outlineLevel="0" collapsed="false">
      <c r="A21" s="26" t="n">
        <v>13</v>
      </c>
      <c r="B21" s="27" t="s">
        <v>325</v>
      </c>
      <c r="C21" s="27" t="s">
        <v>261</v>
      </c>
      <c r="D21" s="27" t="s">
        <v>262</v>
      </c>
      <c r="E21" s="27" t="n">
        <v>233</v>
      </c>
      <c r="F21" s="27" t="s">
        <v>381</v>
      </c>
      <c r="G21" s="27" t="s">
        <v>231</v>
      </c>
      <c r="H21" s="27" t="s">
        <v>1652</v>
      </c>
    </row>
    <row r="22" customFormat="false" ht="27.75" hidden="false" customHeight="true" outlineLevel="0" collapsed="false">
      <c r="A22" s="26" t="n">
        <v>14</v>
      </c>
      <c r="B22" s="27" t="s">
        <v>1653</v>
      </c>
      <c r="C22" s="27" t="s">
        <v>327</v>
      </c>
      <c r="D22" s="27" t="s">
        <v>328</v>
      </c>
      <c r="E22" s="27" t="s">
        <v>1654</v>
      </c>
      <c r="F22" s="27" t="s">
        <v>381</v>
      </c>
      <c r="G22" s="27" t="s">
        <v>205</v>
      </c>
      <c r="H22" s="27" t="s">
        <v>1655</v>
      </c>
    </row>
    <row r="23" customFormat="false" ht="27.75" hidden="false" customHeight="true" outlineLevel="0" collapsed="false">
      <c r="A23" s="26" t="n">
        <v>15</v>
      </c>
      <c r="B23" s="27" t="s">
        <v>1656</v>
      </c>
      <c r="C23" s="27" t="s">
        <v>330</v>
      </c>
      <c r="D23" s="27" t="s">
        <v>331</v>
      </c>
      <c r="E23" s="27" t="n">
        <v>43</v>
      </c>
      <c r="F23" s="27" t="n">
        <v>30</v>
      </c>
      <c r="G23" s="27" t="s">
        <v>198</v>
      </c>
      <c r="H23" s="27" t="s">
        <v>1657</v>
      </c>
    </row>
    <row r="24" customFormat="false" ht="27.75" hidden="false" customHeight="true" outlineLevel="0" collapsed="false">
      <c r="A24" s="26" t="n">
        <v>16</v>
      </c>
      <c r="B24" s="27" t="s">
        <v>1658</v>
      </c>
      <c r="C24" s="27" t="s">
        <v>333</v>
      </c>
      <c r="D24" s="27" t="s">
        <v>334</v>
      </c>
      <c r="E24" s="27" t="n">
        <v>59</v>
      </c>
      <c r="F24" s="27" t="s">
        <v>381</v>
      </c>
      <c r="G24" s="27" t="s">
        <v>205</v>
      </c>
      <c r="H24" s="27" t="s">
        <v>1659</v>
      </c>
    </row>
    <row r="25" customFormat="false" ht="27.75" hidden="false" customHeight="true" outlineLevel="0" collapsed="false">
      <c r="A25" s="26" t="n">
        <v>17</v>
      </c>
      <c r="B25" s="27" t="s">
        <v>1660</v>
      </c>
      <c r="C25" s="27" t="s">
        <v>336</v>
      </c>
      <c r="D25" s="27" t="s">
        <v>337</v>
      </c>
      <c r="E25" s="27" t="n">
        <v>99</v>
      </c>
      <c r="F25" s="27" t="s">
        <v>381</v>
      </c>
      <c r="G25" s="27" t="s">
        <v>226</v>
      </c>
      <c r="H25" s="27" t="s">
        <v>1661</v>
      </c>
    </row>
    <row r="26" customFormat="false" ht="27.75" hidden="false" customHeight="true" outlineLevel="0" collapsed="false">
      <c r="A26" s="26" t="n">
        <v>18</v>
      </c>
      <c r="B26" s="27" t="s">
        <v>338</v>
      </c>
      <c r="C26" s="27" t="s">
        <v>339</v>
      </c>
      <c r="D26" s="27" t="s">
        <v>340</v>
      </c>
      <c r="E26" s="27" t="n">
        <v>108</v>
      </c>
      <c r="F26" s="27" t="n">
        <v>50.9</v>
      </c>
      <c r="G26" s="27" t="s">
        <v>198</v>
      </c>
      <c r="H26" s="27" t="s">
        <v>1662</v>
      </c>
    </row>
    <row r="27" customFormat="false" ht="27.75" hidden="false" customHeight="true" outlineLevel="0" collapsed="false">
      <c r="A27" s="26" t="n">
        <v>19</v>
      </c>
      <c r="B27" s="27" t="s">
        <v>341</v>
      </c>
      <c r="C27" s="27" t="s">
        <v>342</v>
      </c>
      <c r="D27" s="27" t="s">
        <v>343</v>
      </c>
      <c r="E27" s="27" t="n">
        <v>69</v>
      </c>
      <c r="F27" s="27" t="n">
        <v>25</v>
      </c>
      <c r="G27" s="27" t="s">
        <v>198</v>
      </c>
      <c r="H27" s="27" t="s">
        <v>1663</v>
      </c>
    </row>
    <row r="28" customFormat="false" ht="27.75" hidden="false" customHeight="true" outlineLevel="0" collapsed="false">
      <c r="A28" s="26" t="n">
        <v>20</v>
      </c>
      <c r="B28" s="27" t="s">
        <v>1664</v>
      </c>
      <c r="C28" s="27" t="s">
        <v>345</v>
      </c>
      <c r="D28" s="27" t="s">
        <v>346</v>
      </c>
      <c r="E28" s="27" t="n">
        <v>22</v>
      </c>
      <c r="F28" s="27" t="s">
        <v>381</v>
      </c>
      <c r="G28" s="27" t="s">
        <v>198</v>
      </c>
      <c r="H28" s="27" t="s">
        <v>1665</v>
      </c>
    </row>
    <row r="29" customFormat="false" ht="27.75" hidden="false" customHeight="true" outlineLevel="0" collapsed="false">
      <c r="A29" s="26" t="n">
        <v>21</v>
      </c>
      <c r="B29" s="27" t="s">
        <v>1666</v>
      </c>
      <c r="C29" s="27" t="s">
        <v>348</v>
      </c>
      <c r="D29" s="27" t="s">
        <v>349</v>
      </c>
      <c r="E29" s="27" t="n">
        <v>106</v>
      </c>
      <c r="F29" s="27" t="n">
        <v>42.5</v>
      </c>
      <c r="G29" s="27" t="s">
        <v>198</v>
      </c>
      <c r="H29" s="27" t="s">
        <v>1667</v>
      </c>
    </row>
    <row r="30" customFormat="false" ht="27.75" hidden="false" customHeight="true" outlineLevel="0" collapsed="false">
      <c r="A30" s="26" t="n">
        <v>22</v>
      </c>
      <c r="B30" s="27" t="s">
        <v>350</v>
      </c>
      <c r="C30" s="27" t="s">
        <v>351</v>
      </c>
      <c r="D30" s="27" t="s">
        <v>352</v>
      </c>
      <c r="E30" s="27" t="n">
        <v>113</v>
      </c>
      <c r="F30" s="27" t="n">
        <v>13.8</v>
      </c>
      <c r="G30" s="27" t="s">
        <v>198</v>
      </c>
      <c r="H30" s="27" t="s">
        <v>1668</v>
      </c>
    </row>
    <row r="31" customFormat="false" ht="27.75" hidden="false" customHeight="true" outlineLevel="0" collapsed="false">
      <c r="A31" s="26" t="n">
        <v>23</v>
      </c>
      <c r="B31" s="27" t="s">
        <v>353</v>
      </c>
      <c r="C31" s="27" t="s">
        <v>351</v>
      </c>
      <c r="D31" s="27" t="s">
        <v>354</v>
      </c>
      <c r="E31" s="27" t="n">
        <v>21</v>
      </c>
      <c r="F31" s="27" t="s">
        <v>381</v>
      </c>
      <c r="G31" s="27" t="s">
        <v>198</v>
      </c>
      <c r="H31" s="27" t="s">
        <v>1669</v>
      </c>
    </row>
    <row r="32" customFormat="false" ht="27.75" hidden="false" customHeight="true" outlineLevel="0" collapsed="false">
      <c r="A32" s="26" t="n">
        <v>24</v>
      </c>
      <c r="B32" s="27" t="s">
        <v>356</v>
      </c>
      <c r="C32" s="27" t="s">
        <v>357</v>
      </c>
      <c r="D32" s="27" t="s">
        <v>271</v>
      </c>
      <c r="E32" s="27" t="n">
        <v>67</v>
      </c>
      <c r="F32" s="27" t="n">
        <v>22.8</v>
      </c>
      <c r="G32" s="27" t="s">
        <v>205</v>
      </c>
      <c r="H32" s="27" t="s">
        <v>1670</v>
      </c>
    </row>
    <row r="33" customFormat="false" ht="27.75" hidden="false" customHeight="true" outlineLevel="0" collapsed="false">
      <c r="A33" s="26" t="n">
        <v>25</v>
      </c>
      <c r="B33" s="27" t="s">
        <v>1671</v>
      </c>
      <c r="C33" s="27" t="s">
        <v>359</v>
      </c>
      <c r="D33" s="27" t="s">
        <v>360</v>
      </c>
      <c r="E33" s="27" t="n">
        <v>117</v>
      </c>
      <c r="F33" s="27" t="n">
        <v>51.2</v>
      </c>
      <c r="G33" s="27" t="s">
        <v>198</v>
      </c>
      <c r="H33" s="27" t="s">
        <v>1672</v>
      </c>
    </row>
    <row r="34" customFormat="false" ht="27.75" hidden="false" customHeight="true" outlineLevel="0" collapsed="false">
      <c r="A34" s="26" t="n">
        <v>26</v>
      </c>
      <c r="B34" s="27" t="s">
        <v>361</v>
      </c>
      <c r="C34" s="27" t="s">
        <v>273</v>
      </c>
      <c r="D34" s="27" t="s">
        <v>274</v>
      </c>
      <c r="E34" s="27" t="n">
        <v>587</v>
      </c>
      <c r="F34" s="27" t="n">
        <v>73.5</v>
      </c>
      <c r="G34" s="27" t="s">
        <v>198</v>
      </c>
      <c r="H34" s="27" t="s">
        <v>1673</v>
      </c>
    </row>
    <row r="35" customFormat="false" ht="27.75" hidden="false" customHeight="true" outlineLevel="0" collapsed="false">
      <c r="A35" s="26" t="n">
        <v>27</v>
      </c>
      <c r="B35" s="27" t="s">
        <v>362</v>
      </c>
      <c r="C35" s="27" t="s">
        <v>363</v>
      </c>
      <c r="D35" s="27" t="s">
        <v>364</v>
      </c>
      <c r="E35" s="27" t="n">
        <v>373</v>
      </c>
      <c r="F35" s="27" t="n">
        <v>122.1</v>
      </c>
      <c r="G35" s="27" t="s">
        <v>198</v>
      </c>
      <c r="H35" s="27" t="s">
        <v>1674</v>
      </c>
    </row>
    <row r="36" customFormat="false" ht="27.75" hidden="false" customHeight="true" outlineLevel="0" collapsed="false">
      <c r="A36" s="26" t="n">
        <v>28</v>
      </c>
      <c r="B36" s="27" t="s">
        <v>365</v>
      </c>
      <c r="C36" s="27" t="s">
        <v>366</v>
      </c>
      <c r="D36" s="27" t="s">
        <v>367</v>
      </c>
      <c r="E36" s="27" t="n">
        <v>396</v>
      </c>
      <c r="F36" s="27" t="n">
        <v>101.1</v>
      </c>
      <c r="G36" s="27" t="s">
        <v>198</v>
      </c>
      <c r="H36" s="27" t="s">
        <v>1675</v>
      </c>
    </row>
    <row r="37" customFormat="false" ht="27.75" hidden="false" customHeight="true" outlineLevel="0" collapsed="false">
      <c r="A37" s="26" t="n">
        <v>29</v>
      </c>
      <c r="B37" s="27" t="s">
        <v>1676</v>
      </c>
      <c r="C37" s="27" t="s">
        <v>369</v>
      </c>
      <c r="D37" s="27" t="s">
        <v>370</v>
      </c>
      <c r="E37" s="27" t="n">
        <v>45</v>
      </c>
      <c r="F37" s="27" t="n">
        <v>34.4</v>
      </c>
      <c r="G37" s="27" t="s">
        <v>198</v>
      </c>
      <c r="H37" s="27" t="s">
        <v>1677</v>
      </c>
    </row>
    <row r="38" customFormat="false" ht="27.75" hidden="false" customHeight="true" outlineLevel="0" collapsed="false">
      <c r="A38" s="26" t="n">
        <v>30</v>
      </c>
      <c r="B38" s="27" t="s">
        <v>1678</v>
      </c>
      <c r="C38" s="27" t="s">
        <v>372</v>
      </c>
      <c r="D38" s="27" t="s">
        <v>373</v>
      </c>
      <c r="E38" s="27" t="n">
        <v>23</v>
      </c>
      <c r="F38" s="27" t="n">
        <v>32.1</v>
      </c>
      <c r="G38" s="27" t="s">
        <v>198</v>
      </c>
      <c r="H38" s="27" t="s">
        <v>1679</v>
      </c>
    </row>
    <row r="39" customFormat="false" ht="27.75" hidden="false" customHeight="true" outlineLevel="0" collapsed="false">
      <c r="A39" s="26" t="n">
        <v>31</v>
      </c>
      <c r="B39" s="27" t="s">
        <v>374</v>
      </c>
      <c r="C39" s="27" t="s">
        <v>375</v>
      </c>
      <c r="D39" s="27" t="s">
        <v>376</v>
      </c>
      <c r="E39" s="27" t="n">
        <v>39</v>
      </c>
      <c r="F39" s="27" t="n">
        <v>14.2</v>
      </c>
      <c r="G39" s="27" t="s">
        <v>205</v>
      </c>
      <c r="H39" s="27" t="s">
        <v>1680</v>
      </c>
    </row>
    <row r="40" customFormat="false" ht="27.75" hidden="false" customHeight="true" outlineLevel="0" collapsed="false">
      <c r="A40" s="26" t="n">
        <v>32</v>
      </c>
      <c r="B40" s="27" t="s">
        <v>1681</v>
      </c>
      <c r="C40" s="27" t="s">
        <v>270</v>
      </c>
      <c r="D40" s="27" t="s">
        <v>271</v>
      </c>
      <c r="E40" s="27" t="n">
        <v>733</v>
      </c>
      <c r="F40" s="27" t="s">
        <v>381</v>
      </c>
      <c r="G40" s="27" t="s">
        <v>231</v>
      </c>
      <c r="H40" s="27" t="s">
        <v>1682</v>
      </c>
    </row>
    <row r="41" customFormat="false" ht="27.75" hidden="false" customHeight="true" outlineLevel="0" collapsed="false">
      <c r="A41" s="26" t="n">
        <v>33</v>
      </c>
      <c r="B41" s="27" t="s">
        <v>378</v>
      </c>
      <c r="C41" s="27" t="s">
        <v>379</v>
      </c>
      <c r="D41" s="27" t="s">
        <v>380</v>
      </c>
      <c r="E41" s="27" t="s">
        <v>381</v>
      </c>
      <c r="F41" s="27" t="s">
        <v>381</v>
      </c>
      <c r="G41" s="27" t="s">
        <v>217</v>
      </c>
      <c r="H41" s="27" t="s">
        <v>1683</v>
      </c>
    </row>
    <row r="42" customFormat="false" ht="27.75" hidden="false" customHeight="true" outlineLevel="0" collapsed="false">
      <c r="A42" s="26" t="n">
        <v>34</v>
      </c>
      <c r="B42" s="27" t="s">
        <v>382</v>
      </c>
      <c r="C42" s="27" t="s">
        <v>277</v>
      </c>
      <c r="D42" s="27" t="s">
        <v>278</v>
      </c>
      <c r="E42" s="27" t="n">
        <v>322</v>
      </c>
      <c r="F42" s="27" t="n">
        <v>34.2</v>
      </c>
      <c r="G42" s="27" t="s">
        <v>198</v>
      </c>
      <c r="H42" s="27" t="s">
        <v>1684</v>
      </c>
    </row>
    <row r="43" customFormat="false" ht="27.75" hidden="false" customHeight="true" outlineLevel="0" collapsed="false">
      <c r="A43" s="26" t="n">
        <v>35</v>
      </c>
      <c r="B43" s="27" t="s">
        <v>1685</v>
      </c>
      <c r="C43" s="27" t="s">
        <v>1686</v>
      </c>
      <c r="D43" s="27" t="s">
        <v>1687</v>
      </c>
      <c r="E43" s="27" t="n">
        <v>605</v>
      </c>
      <c r="F43" s="27" t="n">
        <v>67.7</v>
      </c>
      <c r="G43" s="27" t="s">
        <v>198</v>
      </c>
      <c r="H43" s="27" t="s">
        <v>1688</v>
      </c>
    </row>
    <row r="44" customFormat="false" ht="27.75" hidden="false" customHeight="true" outlineLevel="0" collapsed="false">
      <c r="A44" s="26" t="n">
        <v>36</v>
      </c>
      <c r="B44" s="27" t="s">
        <v>1689</v>
      </c>
      <c r="C44" s="27" t="s">
        <v>384</v>
      </c>
      <c r="D44" s="27" t="s">
        <v>385</v>
      </c>
      <c r="E44" s="27" t="n">
        <v>8</v>
      </c>
      <c r="F44" s="27" t="s">
        <v>381</v>
      </c>
      <c r="G44" s="27" t="s">
        <v>209</v>
      </c>
      <c r="H44" s="27" t="s">
        <v>1690</v>
      </c>
    </row>
    <row r="45" customFormat="false" ht="6" hidden="false" customHeight="true" outlineLevel="0" collapsed="false">
      <c r="A45" s="4"/>
      <c r="B45" s="5"/>
      <c r="C45" s="5"/>
      <c r="D45" s="5"/>
      <c r="E45" s="5"/>
      <c r="F45" s="5"/>
      <c r="G45" s="5"/>
      <c r="H45" s="5"/>
    </row>
    <row r="46" customFormat="false" ht="21.75" hidden="false" customHeight="true" outlineLevel="0" collapsed="false">
      <c r="A46" s="227" t="s">
        <v>1691</v>
      </c>
      <c r="B46" s="227"/>
      <c r="C46" s="227"/>
      <c r="D46" s="227"/>
      <c r="E46" s="227"/>
      <c r="F46" s="227"/>
      <c r="G46" s="227"/>
      <c r="H46" s="227"/>
    </row>
    <row r="47" customFormat="false" ht="23.25" hidden="false" customHeight="true" outlineLevel="0" collapsed="false">
      <c r="A47" s="30" t="s">
        <v>1692</v>
      </c>
      <c r="B47" s="30"/>
      <c r="C47" s="30"/>
      <c r="D47" s="30"/>
      <c r="E47" s="30"/>
      <c r="F47" s="30"/>
      <c r="G47" s="30"/>
      <c r="H47" s="30"/>
    </row>
    <row r="48" customFormat="false" ht="6" hidden="false" customHeight="true" outlineLevel="0" collapsed="false">
      <c r="A48" s="4"/>
      <c r="B48" s="5"/>
      <c r="C48" s="5"/>
      <c r="D48" s="5"/>
      <c r="E48" s="5"/>
      <c r="F48" s="5"/>
      <c r="G48" s="5"/>
      <c r="H48" s="5"/>
    </row>
    <row r="49" customFormat="false" ht="24" hidden="false" customHeight="true" outlineLevel="0" collapsed="false">
      <c r="A49" s="228" t="s">
        <v>1693</v>
      </c>
      <c r="B49" s="229" t="s">
        <v>1694</v>
      </c>
      <c r="C49" s="230" t="s">
        <v>1695</v>
      </c>
      <c r="D49" s="230" t="s">
        <v>1696</v>
      </c>
      <c r="E49" s="230" t="n">
        <v>5030</v>
      </c>
      <c r="F49" s="230" t="n">
        <v>44.6</v>
      </c>
      <c r="G49" s="229" t="s">
        <v>1697</v>
      </c>
      <c r="H49" s="231"/>
    </row>
    <row r="50" customFormat="false" ht="24" hidden="false" customHeight="true" outlineLevel="0" collapsed="false">
      <c r="A50" s="102" t="s">
        <v>1698</v>
      </c>
      <c r="B50" s="232" t="s">
        <v>1699</v>
      </c>
      <c r="C50" s="233" t="s">
        <v>1700</v>
      </c>
      <c r="D50" s="234"/>
      <c r="E50" s="234"/>
      <c r="F50" s="234"/>
      <c r="G50" s="234"/>
      <c r="H50" s="234"/>
    </row>
    <row r="51" customFormat="false" ht="24" hidden="false" customHeight="true" outlineLevel="0" collapsed="false">
      <c r="A51" s="102" t="s">
        <v>1701</v>
      </c>
      <c r="B51" s="232" t="s">
        <v>1702</v>
      </c>
      <c r="C51" s="233" t="s">
        <v>351</v>
      </c>
      <c r="D51" s="234"/>
      <c r="E51" s="234"/>
      <c r="F51" s="234"/>
      <c r="G51" s="234"/>
      <c r="H51" s="234"/>
    </row>
    <row r="53" customFormat="false" ht="15" hidden="false" customHeight="false" outlineLevel="0" collapsed="false">
      <c r="A53" s="50" t="s">
        <v>1703</v>
      </c>
      <c r="B53" s="50"/>
      <c r="C53" s="50"/>
      <c r="D53" s="50"/>
      <c r="E53" s="50"/>
      <c r="F53" s="50"/>
      <c r="G53" s="50"/>
      <c r="H53" s="50"/>
    </row>
    <row r="54" customFormat="false" ht="15" hidden="false" customHeight="false" outlineLevel="0" collapsed="false">
      <c r="A54" s="51" t="s">
        <v>150</v>
      </c>
      <c r="B54" s="51" t="s">
        <v>1624</v>
      </c>
      <c r="C54" s="51" t="s">
        <v>794</v>
      </c>
      <c r="D54" s="51" t="s">
        <v>950</v>
      </c>
      <c r="E54" s="51" t="s">
        <v>1625</v>
      </c>
      <c r="F54" s="51" t="s">
        <v>98</v>
      </c>
      <c r="G54" s="51" t="s">
        <v>242</v>
      </c>
      <c r="H54" s="51" t="s">
        <v>1626</v>
      </c>
    </row>
    <row r="55" customFormat="false" ht="15" hidden="false" customHeight="false" outlineLevel="0" collapsed="false">
      <c r="A55" s="235" t="s">
        <v>1704</v>
      </c>
      <c r="B55" s="235" t="s">
        <v>1705</v>
      </c>
      <c r="C55" s="235" t="s">
        <v>48</v>
      </c>
      <c r="D55" s="235" t="s">
        <v>1706</v>
      </c>
      <c r="E55" s="235" t="n">
        <v>18</v>
      </c>
      <c r="F55" s="235" t="n">
        <v>80.3</v>
      </c>
      <c r="G55" s="235" t="s">
        <v>1102</v>
      </c>
      <c r="H55" s="235" t="s">
        <v>1707</v>
      </c>
    </row>
    <row r="56" customFormat="false" ht="15" hidden="false" customHeight="false" outlineLevel="0" collapsed="false">
      <c r="A56" s="235" t="s">
        <v>1708</v>
      </c>
      <c r="B56" s="235" t="s">
        <v>1709</v>
      </c>
      <c r="C56" s="235" t="s">
        <v>1710</v>
      </c>
      <c r="D56" s="235" t="s">
        <v>1711</v>
      </c>
      <c r="E56" s="235" t="n">
        <v>27</v>
      </c>
      <c r="F56" s="235" t="s">
        <v>381</v>
      </c>
      <c r="G56" s="235" t="s">
        <v>1712</v>
      </c>
      <c r="H56" s="235" t="s">
        <v>1713</v>
      </c>
    </row>
    <row r="57" customFormat="false" ht="15" hidden="false" customHeight="false" outlineLevel="0" collapsed="false">
      <c r="A57" s="235" t="s">
        <v>1714</v>
      </c>
      <c r="B57" s="235" t="s">
        <v>1715</v>
      </c>
      <c r="C57" s="235" t="s">
        <v>1716</v>
      </c>
      <c r="D57" s="235" t="s">
        <v>331</v>
      </c>
      <c r="E57" s="235" t="n">
        <v>148</v>
      </c>
      <c r="F57" s="235" t="n">
        <v>154.1</v>
      </c>
      <c r="G57" s="235" t="s">
        <v>1717</v>
      </c>
      <c r="H57" s="235" t="s">
        <v>1718</v>
      </c>
    </row>
    <row r="58" customFormat="false" ht="15" hidden="false" customHeight="false" outlineLevel="0" collapsed="false">
      <c r="A58" s="235" t="s">
        <v>1366</v>
      </c>
      <c r="B58" s="235" t="s">
        <v>1406</v>
      </c>
      <c r="C58" s="235" t="s">
        <v>598</v>
      </c>
      <c r="D58" s="235" t="s">
        <v>863</v>
      </c>
      <c r="E58" s="235" t="n">
        <v>33</v>
      </c>
      <c r="F58" s="235" t="n">
        <v>156.7</v>
      </c>
      <c r="G58" s="235" t="s">
        <v>1102</v>
      </c>
      <c r="H58" s="235" t="s">
        <v>1719</v>
      </c>
    </row>
    <row r="59" customFormat="false" ht="15" hidden="false" customHeight="false" outlineLevel="0" collapsed="false">
      <c r="A59" s="235" t="s">
        <v>1720</v>
      </c>
      <c r="B59" s="235" t="s">
        <v>1721</v>
      </c>
      <c r="C59" s="235" t="s">
        <v>1722</v>
      </c>
      <c r="D59" s="235" t="s">
        <v>1723</v>
      </c>
      <c r="E59" s="235" t="n">
        <v>73</v>
      </c>
      <c r="F59" s="235" t="s">
        <v>381</v>
      </c>
      <c r="G59" s="235" t="s">
        <v>1724</v>
      </c>
      <c r="H59" s="235" t="s">
        <v>1725</v>
      </c>
    </row>
    <row r="60" customFormat="false" ht="15" hidden="false" customHeight="false" outlineLevel="0" collapsed="false">
      <c r="A60" s="235" t="s">
        <v>1726</v>
      </c>
      <c r="B60" s="235" t="s">
        <v>1727</v>
      </c>
      <c r="C60" s="235" t="s">
        <v>854</v>
      </c>
      <c r="D60" s="235" t="s">
        <v>856</v>
      </c>
      <c r="E60" s="235" t="n">
        <v>31</v>
      </c>
      <c r="F60" s="235" t="n">
        <v>125.8</v>
      </c>
      <c r="G60" s="235" t="s">
        <v>1102</v>
      </c>
      <c r="H60" s="235" t="s">
        <v>1728</v>
      </c>
    </row>
    <row r="61" customFormat="false" ht="15" hidden="false" customHeight="false" outlineLevel="0" collapsed="false">
      <c r="A61" s="52" t="s">
        <v>1729</v>
      </c>
      <c r="B61" s="52" t="s">
        <v>1730</v>
      </c>
      <c r="C61" s="52" t="s">
        <v>1731</v>
      </c>
      <c r="D61" s="52" t="s">
        <v>1732</v>
      </c>
      <c r="E61" s="52" t="n">
        <v>69</v>
      </c>
      <c r="F61" s="52" t="n">
        <v>129.3</v>
      </c>
      <c r="G61" s="52" t="s">
        <v>1102</v>
      </c>
      <c r="H61" s="52" t="s">
        <v>1733</v>
      </c>
    </row>
    <row r="62" customFormat="false" ht="15" hidden="false" customHeight="false" outlineLevel="0" collapsed="false">
      <c r="A62" s="52" t="s">
        <v>1734</v>
      </c>
      <c r="B62" s="52" t="s">
        <v>1735</v>
      </c>
      <c r="C62" s="52" t="s">
        <v>1736</v>
      </c>
      <c r="D62" s="52" t="s">
        <v>1737</v>
      </c>
      <c r="E62" s="52" t="n">
        <v>99</v>
      </c>
      <c r="F62" s="52" t="s">
        <v>381</v>
      </c>
      <c r="G62" s="52" t="s">
        <v>1738</v>
      </c>
      <c r="H62" s="52" t="s">
        <v>1739</v>
      </c>
    </row>
    <row r="63" customFormat="false" ht="15" hidden="false" customHeight="false" outlineLevel="0" collapsed="false">
      <c r="A63" s="52" t="s">
        <v>1740</v>
      </c>
      <c r="B63" s="52" t="s">
        <v>1741</v>
      </c>
      <c r="C63" s="52" t="s">
        <v>1742</v>
      </c>
      <c r="D63" s="52" t="s">
        <v>1743</v>
      </c>
      <c r="E63" s="52" t="n">
        <v>76</v>
      </c>
      <c r="F63" s="52" t="n">
        <v>139.5</v>
      </c>
      <c r="G63" s="52" t="s">
        <v>1102</v>
      </c>
      <c r="H63" s="52" t="s">
        <v>1744</v>
      </c>
    </row>
    <row r="64" customFormat="false" ht="15" hidden="false" customHeight="false" outlineLevel="0" collapsed="false">
      <c r="A64" s="52" t="s">
        <v>1745</v>
      </c>
      <c r="B64" s="52" t="s">
        <v>1746</v>
      </c>
      <c r="C64" s="52" t="s">
        <v>831</v>
      </c>
      <c r="D64" s="52" t="s">
        <v>833</v>
      </c>
      <c r="E64" s="52" t="n">
        <v>108</v>
      </c>
      <c r="F64" s="52" t="n">
        <v>146.2</v>
      </c>
      <c r="G64" s="52" t="s">
        <v>1747</v>
      </c>
      <c r="H64" s="52" t="s">
        <v>1748</v>
      </c>
    </row>
    <row r="65" customFormat="false" ht="15" hidden="false" customHeight="false" outlineLevel="0" collapsed="false">
      <c r="A65" s="52" t="s">
        <v>1031</v>
      </c>
      <c r="B65" s="52" t="s">
        <v>1749</v>
      </c>
      <c r="C65" s="52" t="s">
        <v>1750</v>
      </c>
      <c r="D65" s="52" t="s">
        <v>246</v>
      </c>
      <c r="E65" s="52" t="n">
        <v>117</v>
      </c>
      <c r="F65" s="52" t="n">
        <v>147.9</v>
      </c>
      <c r="G65" s="52" t="s">
        <v>1102</v>
      </c>
      <c r="H65" s="52" t="s">
        <v>1751</v>
      </c>
    </row>
    <row r="66" customFormat="false" ht="15" hidden="false" customHeight="false" outlineLevel="0" collapsed="false">
      <c r="A66" s="52" t="s">
        <v>1752</v>
      </c>
      <c r="B66" s="52" t="s">
        <v>1753</v>
      </c>
      <c r="C66" s="52" t="s">
        <v>1754</v>
      </c>
      <c r="D66" s="52" t="s">
        <v>381</v>
      </c>
      <c r="E66" s="52" t="s">
        <v>381</v>
      </c>
      <c r="F66" s="52" t="n">
        <v>65.6</v>
      </c>
      <c r="G66" s="52" t="s">
        <v>1755</v>
      </c>
      <c r="H66" s="52" t="s">
        <v>1756</v>
      </c>
    </row>
    <row r="67" customFormat="false" ht="15" hidden="false" customHeight="false" outlineLevel="0" collapsed="false">
      <c r="A67" s="52" t="s">
        <v>1757</v>
      </c>
      <c r="B67" s="52" t="s">
        <v>1758</v>
      </c>
      <c r="C67" s="52" t="s">
        <v>313</v>
      </c>
      <c r="D67" s="52" t="s">
        <v>1759</v>
      </c>
      <c r="E67" s="52" t="n">
        <v>148</v>
      </c>
      <c r="F67" s="52" t="n">
        <v>124.3</v>
      </c>
      <c r="G67" s="52" t="s">
        <v>1760</v>
      </c>
      <c r="H67" s="52" t="s">
        <v>1761</v>
      </c>
    </row>
    <row r="68" customFormat="false" ht="15" hidden="false" customHeight="false" outlineLevel="0" collapsed="false">
      <c r="A68" s="236" t="s">
        <v>1762</v>
      </c>
      <c r="B68" s="236" t="s">
        <v>1763</v>
      </c>
      <c r="C68" s="236" t="s">
        <v>1764</v>
      </c>
      <c r="D68" s="236" t="s">
        <v>1765</v>
      </c>
      <c r="E68" s="236" t="n">
        <v>198</v>
      </c>
      <c r="F68" s="236" t="n">
        <v>169.9</v>
      </c>
      <c r="G68" s="236" t="s">
        <v>1102</v>
      </c>
      <c r="H68" s="236" t="s">
        <v>1766</v>
      </c>
    </row>
    <row r="70" customFormat="false" ht="15" hidden="false" customHeight="false" outlineLevel="0" collapsed="false">
      <c r="A70" s="237" t="s">
        <v>1767</v>
      </c>
    </row>
    <row r="71" customFormat="false" ht="15" hidden="false" customHeight="false" outlineLevel="0" collapsed="false">
      <c r="A71" s="1" t="s">
        <v>1768</v>
      </c>
      <c r="B71" s="1" t="s">
        <v>1769</v>
      </c>
    </row>
    <row r="72" customFormat="false" ht="15" hidden="false" customHeight="false" outlineLevel="0" collapsed="false">
      <c r="A72" s="1" t="s">
        <v>1698</v>
      </c>
      <c r="B72" s="1" t="s">
        <v>1770</v>
      </c>
    </row>
    <row r="73" customFormat="false" ht="15" hidden="false" customHeight="false" outlineLevel="0" collapsed="false">
      <c r="A73" s="1" t="s">
        <v>1701</v>
      </c>
      <c r="B73" s="1" t="s">
        <v>1702</v>
      </c>
    </row>
    <row r="74" customFormat="false" ht="15" hidden="false" customHeight="false" outlineLevel="0" collapsed="false">
      <c r="A74" s="1" t="s">
        <v>1771</v>
      </c>
      <c r="B74" s="1" t="s">
        <v>1772</v>
      </c>
    </row>
  </sheetData>
  <mergeCells count="7">
    <mergeCell ref="A1:H1"/>
    <mergeCell ref="A2:H2"/>
    <mergeCell ref="A4:H4"/>
    <mergeCell ref="A15:H15"/>
    <mergeCell ref="A46:H46"/>
    <mergeCell ref="A47:H47"/>
    <mergeCell ref="A53:H53"/>
  </mergeCells>
  <printOptions headings="false" gridLines="false" gridLinesSet="true" horizontalCentered="false" verticalCentered="false"/>
  <pageMargins left="0.4" right="0.4" top="0.5" bottom="0.5" header="0.25" footer="0.25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&amp;CWillis Holdings</oddHeader>
    <oddFooter>&amp;CCONFIDENTIAL  | 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472C4"/>
    <pageSetUpPr fitToPage="false"/>
  </sheetPr>
  <dimension ref="A1:F2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18"/>
    <col collapsed="false" customWidth="true" hidden="false" outlineLevel="0" max="5" min="3" style="1" width="10"/>
    <col collapsed="false" customWidth="true" hidden="false" outlineLevel="0" max="6" min="6" style="1" width="34"/>
  </cols>
  <sheetData>
    <row r="1" customFormat="false" ht="24" hidden="false" customHeight="true" outlineLevel="0" collapsed="false">
      <c r="A1" s="2" t="s">
        <v>1773</v>
      </c>
      <c r="B1" s="2"/>
      <c r="C1" s="2"/>
      <c r="D1" s="2"/>
      <c r="E1" s="2"/>
      <c r="F1" s="2"/>
    </row>
    <row r="2" customFormat="false" ht="21.75" hidden="false" customHeight="true" outlineLevel="0" collapsed="false">
      <c r="A2" s="23" t="s">
        <v>1774</v>
      </c>
      <c r="B2" s="23"/>
      <c r="C2" s="23"/>
      <c r="D2" s="23"/>
      <c r="E2" s="23"/>
      <c r="F2" s="23"/>
    </row>
    <row r="3" customFormat="false" ht="6" hidden="false" customHeight="true" outlineLevel="0" collapsed="false">
      <c r="A3" s="4"/>
      <c r="B3" s="5"/>
      <c r="C3" s="5"/>
      <c r="D3" s="5"/>
      <c r="E3" s="5"/>
      <c r="F3" s="5"/>
    </row>
    <row r="4" customFormat="false" ht="24" hidden="false" customHeight="true" outlineLevel="0" collapsed="false">
      <c r="A4" s="238" t="s">
        <v>1775</v>
      </c>
      <c r="B4" s="238"/>
      <c r="C4" s="238"/>
      <c r="D4" s="238"/>
      <c r="E4" s="238"/>
      <c r="F4" s="238"/>
    </row>
    <row r="5" customFormat="false" ht="24" hidden="false" customHeight="true" outlineLevel="0" collapsed="false">
      <c r="A5" s="24" t="s">
        <v>1776</v>
      </c>
      <c r="B5" s="25" t="s">
        <v>105</v>
      </c>
      <c r="C5" s="25" t="s">
        <v>794</v>
      </c>
      <c r="D5" s="25" t="s">
        <v>950</v>
      </c>
      <c r="E5" s="25" t="s">
        <v>92</v>
      </c>
      <c r="F5" s="25" t="s">
        <v>512</v>
      </c>
    </row>
    <row r="6" customFormat="false" ht="18" hidden="false" customHeight="true" outlineLevel="0" collapsed="false">
      <c r="A6" s="26" t="s">
        <v>1777</v>
      </c>
      <c r="B6" s="27" t="s">
        <v>108</v>
      </c>
      <c r="C6" s="27" t="s">
        <v>1471</v>
      </c>
      <c r="D6" s="27" t="s">
        <v>1778</v>
      </c>
      <c r="E6" s="27" t="n">
        <v>902</v>
      </c>
      <c r="F6" s="28" t="s">
        <v>1779</v>
      </c>
    </row>
    <row r="7" customFormat="false" ht="18" hidden="false" customHeight="true" outlineLevel="0" collapsed="false">
      <c r="A7" s="26" t="s">
        <v>1780</v>
      </c>
      <c r="B7" s="27" t="s">
        <v>108</v>
      </c>
      <c r="C7" s="27" t="s">
        <v>1781</v>
      </c>
      <c r="D7" s="27" t="s">
        <v>1782</v>
      </c>
      <c r="E7" s="27" t="n">
        <v>646</v>
      </c>
      <c r="F7" s="239" t="s">
        <v>1783</v>
      </c>
    </row>
    <row r="8" customFormat="false" ht="18" hidden="false" customHeight="true" outlineLevel="0" collapsed="false">
      <c r="A8" s="26" t="s">
        <v>1777</v>
      </c>
      <c r="B8" s="27" t="s">
        <v>111</v>
      </c>
      <c r="C8" s="27" t="s">
        <v>273</v>
      </c>
      <c r="D8" s="27" t="s">
        <v>274</v>
      </c>
      <c r="E8" s="27" t="n">
        <v>587</v>
      </c>
      <c r="F8" s="28" t="s">
        <v>1779</v>
      </c>
    </row>
    <row r="9" customFormat="false" ht="18" hidden="false" customHeight="true" outlineLevel="0" collapsed="false">
      <c r="A9" s="26" t="s">
        <v>1780</v>
      </c>
      <c r="B9" s="27" t="s">
        <v>111</v>
      </c>
      <c r="C9" s="27" t="s">
        <v>855</v>
      </c>
      <c r="D9" s="27" t="s">
        <v>1784</v>
      </c>
      <c r="E9" s="27" t="n">
        <v>473</v>
      </c>
      <c r="F9" s="239" t="s">
        <v>1783</v>
      </c>
    </row>
    <row r="10" customFormat="false" ht="18" hidden="false" customHeight="true" outlineLevel="0" collapsed="false">
      <c r="A10" s="26" t="s">
        <v>1777</v>
      </c>
      <c r="B10" s="27" t="s">
        <v>114</v>
      </c>
      <c r="C10" s="27" t="s">
        <v>1785</v>
      </c>
      <c r="D10" s="27" t="s">
        <v>1786</v>
      </c>
      <c r="E10" s="27" t="n">
        <v>929</v>
      </c>
      <c r="F10" s="27" t="s">
        <v>1787</v>
      </c>
    </row>
    <row r="11" customFormat="false" ht="18" hidden="false" customHeight="true" outlineLevel="0" collapsed="false">
      <c r="A11" s="26" t="s">
        <v>1780</v>
      </c>
      <c r="B11" s="27" t="s">
        <v>114</v>
      </c>
      <c r="C11" s="27" t="s">
        <v>1788</v>
      </c>
      <c r="D11" s="27" t="s">
        <v>1789</v>
      </c>
      <c r="E11" s="27" t="n">
        <v>594</v>
      </c>
      <c r="F11" s="239" t="s">
        <v>1783</v>
      </c>
    </row>
    <row r="12" customFormat="false" ht="6" hidden="false" customHeight="true" outlineLevel="0" collapsed="false">
      <c r="A12" s="4"/>
      <c r="B12" s="5"/>
      <c r="C12" s="5"/>
      <c r="D12" s="5"/>
      <c r="E12" s="5"/>
      <c r="F12" s="5"/>
    </row>
    <row r="13" customFormat="false" ht="24" hidden="false" customHeight="true" outlineLevel="0" collapsed="false">
      <c r="A13" s="238" t="s">
        <v>1790</v>
      </c>
      <c r="B13" s="238"/>
      <c r="C13" s="238"/>
      <c r="D13" s="238"/>
      <c r="E13" s="238"/>
      <c r="F13" s="238"/>
    </row>
    <row r="14" customFormat="false" ht="24" hidden="false" customHeight="true" outlineLevel="0" collapsed="false">
      <c r="A14" s="24" t="s">
        <v>1791</v>
      </c>
      <c r="B14" s="25" t="s">
        <v>105</v>
      </c>
      <c r="C14" s="25" t="s">
        <v>794</v>
      </c>
      <c r="D14" s="25" t="s">
        <v>950</v>
      </c>
      <c r="E14" s="25" t="s">
        <v>92</v>
      </c>
      <c r="F14" s="25" t="s">
        <v>512</v>
      </c>
    </row>
    <row r="15" customFormat="false" ht="18" hidden="false" customHeight="true" outlineLevel="0" collapsed="false">
      <c r="A15" s="26" t="s">
        <v>1792</v>
      </c>
      <c r="B15" s="27" t="s">
        <v>1793</v>
      </c>
      <c r="C15" s="27" t="s">
        <v>1794</v>
      </c>
      <c r="D15" s="27" t="s">
        <v>1795</v>
      </c>
      <c r="E15" s="27" t="n">
        <v>368</v>
      </c>
      <c r="F15" s="239" t="s">
        <v>1783</v>
      </c>
    </row>
    <row r="16" customFormat="false" ht="18" hidden="false" customHeight="true" outlineLevel="0" collapsed="false">
      <c r="A16" s="26" t="s">
        <v>1796</v>
      </c>
      <c r="B16" s="27" t="s">
        <v>1793</v>
      </c>
      <c r="C16" s="27" t="s">
        <v>1797</v>
      </c>
      <c r="D16" s="27" t="s">
        <v>1167</v>
      </c>
      <c r="E16" s="27" t="n">
        <v>1307</v>
      </c>
      <c r="F16" s="27" t="s">
        <v>1798</v>
      </c>
    </row>
    <row r="17" customFormat="false" ht="18" hidden="false" customHeight="true" outlineLevel="0" collapsed="false">
      <c r="A17" s="26" t="s">
        <v>1799</v>
      </c>
      <c r="B17" s="27" t="s">
        <v>1793</v>
      </c>
      <c r="C17" s="27" t="s">
        <v>1800</v>
      </c>
      <c r="D17" s="27" t="s">
        <v>1786</v>
      </c>
      <c r="E17" s="27" t="n">
        <v>1037</v>
      </c>
      <c r="F17" s="27" t="s">
        <v>1801</v>
      </c>
    </row>
    <row r="18" customFormat="false" ht="18" hidden="false" customHeight="true" outlineLevel="0" collapsed="false">
      <c r="A18" s="26" t="s">
        <v>1802</v>
      </c>
      <c r="B18" s="27" t="s">
        <v>1793</v>
      </c>
      <c r="C18" s="27" t="s">
        <v>1803</v>
      </c>
      <c r="D18" s="27" t="s">
        <v>278</v>
      </c>
      <c r="E18" s="27" t="n">
        <v>834</v>
      </c>
      <c r="F18" s="27" t="s">
        <v>1804</v>
      </c>
    </row>
    <row r="19" customFormat="false" ht="18" hidden="false" customHeight="true" outlineLevel="0" collapsed="false">
      <c r="A19" s="26" t="s">
        <v>1805</v>
      </c>
      <c r="B19" s="27" t="s">
        <v>108</v>
      </c>
      <c r="C19" s="27" t="s">
        <v>245</v>
      </c>
      <c r="D19" s="27" t="s">
        <v>246</v>
      </c>
      <c r="E19" s="27" t="n">
        <v>117</v>
      </c>
      <c r="F19" s="240" t="s">
        <v>1806</v>
      </c>
    </row>
    <row r="20" customFormat="false" ht="18" hidden="false" customHeight="true" outlineLevel="0" collapsed="false">
      <c r="A20" s="26" t="s">
        <v>1805</v>
      </c>
      <c r="B20" s="27" t="s">
        <v>111</v>
      </c>
      <c r="C20" s="27" t="s">
        <v>409</v>
      </c>
      <c r="D20" s="27" t="s">
        <v>1807</v>
      </c>
      <c r="E20" s="27" t="n">
        <v>222</v>
      </c>
      <c r="F20" s="240" t="s">
        <v>1808</v>
      </c>
    </row>
    <row r="21" customFormat="false" ht="18" hidden="false" customHeight="true" outlineLevel="0" collapsed="false">
      <c r="A21" s="26" t="s">
        <v>1809</v>
      </c>
      <c r="B21" s="27" t="s">
        <v>108</v>
      </c>
      <c r="C21" s="27" t="s">
        <v>259</v>
      </c>
      <c r="D21" s="27" t="s">
        <v>260</v>
      </c>
      <c r="E21" s="27" t="n">
        <v>148</v>
      </c>
      <c r="F21" s="27" t="s">
        <v>1810</v>
      </c>
    </row>
    <row r="22" customFormat="false" ht="18" hidden="false" customHeight="true" outlineLevel="0" collapsed="false">
      <c r="A22" s="26" t="s">
        <v>1809</v>
      </c>
      <c r="B22" s="27" t="s">
        <v>111</v>
      </c>
      <c r="C22" s="27" t="s">
        <v>261</v>
      </c>
      <c r="D22" s="27" t="s">
        <v>262</v>
      </c>
      <c r="E22" s="27" t="n">
        <v>233</v>
      </c>
      <c r="F22" s="27" t="s">
        <v>1811</v>
      </c>
    </row>
    <row r="23" customFormat="false" ht="23.25" hidden="false" customHeight="true" outlineLevel="0" collapsed="false">
      <c r="A23" s="26" t="s">
        <v>1812</v>
      </c>
      <c r="B23" s="27" t="s">
        <v>1793</v>
      </c>
      <c r="C23" s="27" t="s">
        <v>381</v>
      </c>
      <c r="D23" s="27" t="s">
        <v>381</v>
      </c>
      <c r="E23" s="27" t="s">
        <v>381</v>
      </c>
      <c r="F23" s="239" t="s">
        <v>1813</v>
      </c>
    </row>
    <row r="24" customFormat="false" ht="23.25" hidden="false" customHeight="true" outlineLevel="0" collapsed="false">
      <c r="A24" s="26" t="s">
        <v>1814</v>
      </c>
      <c r="B24" s="27" t="s">
        <v>1793</v>
      </c>
      <c r="C24" s="27" t="s">
        <v>1815</v>
      </c>
      <c r="D24" s="27" t="s">
        <v>1816</v>
      </c>
      <c r="E24" s="27" t="s">
        <v>381</v>
      </c>
      <c r="F24" s="27" t="s">
        <v>1817</v>
      </c>
    </row>
    <row r="25" customFormat="false" ht="6" hidden="false" customHeight="true" outlineLevel="0" collapsed="false">
      <c r="A25" s="4"/>
      <c r="B25" s="5"/>
      <c r="C25" s="5"/>
      <c r="D25" s="5"/>
      <c r="E25" s="5"/>
      <c r="F25" s="5"/>
    </row>
    <row r="26" customFormat="false" ht="24" hidden="false" customHeight="true" outlineLevel="0" collapsed="false">
      <c r="A26" s="238" t="s">
        <v>1818</v>
      </c>
      <c r="B26" s="238"/>
      <c r="C26" s="238"/>
      <c r="D26" s="238"/>
      <c r="E26" s="238"/>
      <c r="F26" s="238"/>
    </row>
    <row r="27" customFormat="false" ht="24" hidden="false" customHeight="true" outlineLevel="0" collapsed="false">
      <c r="A27" s="24" t="s">
        <v>1819</v>
      </c>
      <c r="B27" s="25" t="s">
        <v>105</v>
      </c>
      <c r="C27" s="25" t="s">
        <v>794</v>
      </c>
      <c r="D27" s="25" t="s">
        <v>950</v>
      </c>
      <c r="E27" s="25" t="s">
        <v>92</v>
      </c>
      <c r="F27" s="25" t="s">
        <v>512</v>
      </c>
    </row>
    <row r="28" customFormat="false" ht="18" hidden="false" customHeight="true" outlineLevel="0" collapsed="false">
      <c r="A28" s="26" t="s">
        <v>1820</v>
      </c>
      <c r="B28" s="27" t="s">
        <v>108</v>
      </c>
      <c r="C28" s="27" t="s">
        <v>1821</v>
      </c>
      <c r="D28" s="27" t="s">
        <v>1822</v>
      </c>
      <c r="E28" s="27" t="s">
        <v>381</v>
      </c>
      <c r="F28" s="27" t="s">
        <v>1823</v>
      </c>
    </row>
    <row r="29" customFormat="false" ht="18" hidden="false" customHeight="true" outlineLevel="0" collapsed="false">
      <c r="A29" s="26" t="s">
        <v>1824</v>
      </c>
      <c r="B29" s="27" t="s">
        <v>108</v>
      </c>
      <c r="C29" s="27" t="s">
        <v>1825</v>
      </c>
      <c r="D29" s="27" t="s">
        <v>1711</v>
      </c>
      <c r="E29" s="27" t="s">
        <v>381</v>
      </c>
      <c r="F29" s="27" t="s">
        <v>1826</v>
      </c>
    </row>
    <row r="30" customFormat="false" ht="18" hidden="false" customHeight="true" outlineLevel="0" collapsed="false">
      <c r="A30" s="26" t="s">
        <v>1827</v>
      </c>
      <c r="B30" s="27" t="s">
        <v>108</v>
      </c>
      <c r="C30" s="27" t="s">
        <v>1828</v>
      </c>
      <c r="D30" s="27" t="s">
        <v>1829</v>
      </c>
      <c r="E30" s="27" t="s">
        <v>381</v>
      </c>
      <c r="F30" s="27" t="s">
        <v>1801</v>
      </c>
    </row>
    <row r="31" customFormat="false" ht="18" hidden="false" customHeight="true" outlineLevel="0" collapsed="false">
      <c r="A31" s="26" t="s">
        <v>1830</v>
      </c>
      <c r="B31" s="27" t="s">
        <v>108</v>
      </c>
      <c r="C31" s="27" t="s">
        <v>327</v>
      </c>
      <c r="D31" s="27" t="s">
        <v>328</v>
      </c>
      <c r="E31" s="27" t="s">
        <v>1654</v>
      </c>
      <c r="F31" s="27" t="s">
        <v>1831</v>
      </c>
    </row>
    <row r="32" customFormat="false" ht="18" hidden="false" customHeight="true" outlineLevel="0" collapsed="false">
      <c r="A32" s="26" t="s">
        <v>1820</v>
      </c>
      <c r="B32" s="27" t="s">
        <v>111</v>
      </c>
      <c r="C32" s="27" t="s">
        <v>1832</v>
      </c>
      <c r="D32" s="27" t="s">
        <v>1833</v>
      </c>
      <c r="E32" s="27" t="s">
        <v>381</v>
      </c>
      <c r="F32" s="27" t="s">
        <v>1823</v>
      </c>
    </row>
    <row r="33" customFormat="false" ht="18" hidden="false" customHeight="true" outlineLevel="0" collapsed="false">
      <c r="A33" s="26" t="s">
        <v>1824</v>
      </c>
      <c r="B33" s="27" t="s">
        <v>111</v>
      </c>
      <c r="C33" s="27" t="s">
        <v>1834</v>
      </c>
      <c r="D33" s="27" t="s">
        <v>1835</v>
      </c>
      <c r="E33" s="27" t="s">
        <v>381</v>
      </c>
      <c r="F33" s="27" t="s">
        <v>1801</v>
      </c>
    </row>
    <row r="34" customFormat="false" ht="18" hidden="false" customHeight="true" outlineLevel="0" collapsed="false">
      <c r="A34" s="26" t="s">
        <v>1827</v>
      </c>
      <c r="B34" s="27" t="s">
        <v>111</v>
      </c>
      <c r="C34" s="27" t="s">
        <v>295</v>
      </c>
      <c r="D34" s="27" t="s">
        <v>296</v>
      </c>
      <c r="E34" s="27" t="s">
        <v>1630</v>
      </c>
      <c r="F34" s="240" t="s">
        <v>1836</v>
      </c>
    </row>
    <row r="35" customFormat="false" ht="6" hidden="false" customHeight="true" outlineLevel="0" collapsed="false">
      <c r="A35" s="4"/>
      <c r="B35" s="5"/>
      <c r="C35" s="5"/>
      <c r="D35" s="5"/>
      <c r="E35" s="5"/>
      <c r="F35" s="5"/>
    </row>
    <row r="36" customFormat="false" ht="24" hidden="false" customHeight="true" outlineLevel="0" collapsed="false">
      <c r="A36" s="238" t="s">
        <v>1837</v>
      </c>
      <c r="B36" s="238"/>
      <c r="C36" s="238"/>
      <c r="D36" s="238"/>
      <c r="E36" s="238"/>
      <c r="F36" s="238"/>
    </row>
    <row r="37" customFormat="false" ht="24" hidden="false" customHeight="true" outlineLevel="0" collapsed="false">
      <c r="A37" s="24" t="s">
        <v>1838</v>
      </c>
      <c r="B37" s="25" t="s">
        <v>105</v>
      </c>
      <c r="C37" s="25" t="s">
        <v>794</v>
      </c>
      <c r="D37" s="25" t="s">
        <v>950</v>
      </c>
      <c r="E37" s="25" t="s">
        <v>92</v>
      </c>
      <c r="F37" s="25" t="s">
        <v>512</v>
      </c>
    </row>
    <row r="38" customFormat="false" ht="18" hidden="false" customHeight="true" outlineLevel="0" collapsed="false">
      <c r="A38" s="26" t="s">
        <v>1839</v>
      </c>
      <c r="B38" s="27" t="s">
        <v>108</v>
      </c>
      <c r="C38" s="27" t="s">
        <v>1840</v>
      </c>
      <c r="D38" s="27" t="s">
        <v>1687</v>
      </c>
      <c r="E38" s="27" t="n">
        <v>257</v>
      </c>
      <c r="F38" s="28" t="s">
        <v>1841</v>
      </c>
    </row>
    <row r="39" customFormat="false" ht="18" hidden="false" customHeight="true" outlineLevel="0" collapsed="false">
      <c r="A39" s="26" t="s">
        <v>1842</v>
      </c>
      <c r="B39" s="27" t="s">
        <v>108</v>
      </c>
      <c r="C39" s="27" t="s">
        <v>445</v>
      </c>
      <c r="D39" s="27" t="s">
        <v>274</v>
      </c>
      <c r="E39" s="27" t="n">
        <v>211</v>
      </c>
      <c r="F39" s="28" t="s">
        <v>1841</v>
      </c>
    </row>
    <row r="40" customFormat="false" ht="18" hidden="false" customHeight="true" outlineLevel="0" collapsed="false">
      <c r="A40" s="26" t="s">
        <v>1843</v>
      </c>
      <c r="B40" s="27" t="s">
        <v>108</v>
      </c>
      <c r="C40" s="27" t="s">
        <v>1844</v>
      </c>
      <c r="D40" s="27" t="s">
        <v>1845</v>
      </c>
      <c r="E40" s="27" t="n">
        <v>201</v>
      </c>
      <c r="F40" s="27" t="s">
        <v>1846</v>
      </c>
    </row>
    <row r="41" customFormat="false" ht="18" hidden="false" customHeight="true" outlineLevel="0" collapsed="false">
      <c r="A41" s="26" t="s">
        <v>1847</v>
      </c>
      <c r="B41" s="27" t="s">
        <v>108</v>
      </c>
      <c r="C41" s="27" t="s">
        <v>612</v>
      </c>
      <c r="D41" s="27" t="s">
        <v>1848</v>
      </c>
      <c r="E41" s="27" t="n">
        <v>124</v>
      </c>
      <c r="F41" s="27" t="s">
        <v>1849</v>
      </c>
    </row>
    <row r="42" customFormat="false" ht="18" hidden="false" customHeight="true" outlineLevel="0" collapsed="false">
      <c r="A42" s="26" t="s">
        <v>1850</v>
      </c>
      <c r="B42" s="27" t="s">
        <v>108</v>
      </c>
      <c r="C42" s="27" t="s">
        <v>975</v>
      </c>
      <c r="D42" s="27" t="s">
        <v>1851</v>
      </c>
      <c r="E42" s="27" t="n">
        <v>296</v>
      </c>
      <c r="F42" s="27" t="s">
        <v>1849</v>
      </c>
    </row>
    <row r="43" customFormat="false" ht="18" hidden="false" customHeight="true" outlineLevel="0" collapsed="false">
      <c r="A43" s="26" t="s">
        <v>1839</v>
      </c>
      <c r="B43" s="27" t="s">
        <v>111</v>
      </c>
      <c r="C43" s="27" t="s">
        <v>1852</v>
      </c>
      <c r="D43" s="27" t="s">
        <v>1853</v>
      </c>
      <c r="E43" s="27" t="n">
        <v>123</v>
      </c>
      <c r="F43" s="28" t="s">
        <v>1854</v>
      </c>
    </row>
    <row r="44" customFormat="false" ht="18" hidden="false" customHeight="true" outlineLevel="0" collapsed="false">
      <c r="A44" s="26" t="s">
        <v>1847</v>
      </c>
      <c r="B44" s="27" t="s">
        <v>111</v>
      </c>
      <c r="C44" s="27" t="s">
        <v>1855</v>
      </c>
      <c r="D44" s="27" t="s">
        <v>1856</v>
      </c>
      <c r="E44" s="27" t="n">
        <v>134</v>
      </c>
      <c r="F44" s="27" t="s">
        <v>1857</v>
      </c>
    </row>
    <row r="45" customFormat="false" ht="18" hidden="false" customHeight="true" outlineLevel="0" collapsed="false">
      <c r="A45" s="26" t="s">
        <v>1858</v>
      </c>
      <c r="B45" s="27" t="s">
        <v>111</v>
      </c>
      <c r="C45" s="27" t="s">
        <v>1859</v>
      </c>
      <c r="D45" s="27" t="s">
        <v>1860</v>
      </c>
      <c r="E45" s="27" t="n">
        <v>223</v>
      </c>
      <c r="F45" s="27" t="s">
        <v>1861</v>
      </c>
    </row>
    <row r="46" customFormat="false" ht="18" hidden="false" customHeight="true" outlineLevel="0" collapsed="false">
      <c r="A46" s="26" t="s">
        <v>1862</v>
      </c>
      <c r="B46" s="27" t="s">
        <v>114</v>
      </c>
      <c r="C46" s="27" t="s">
        <v>381</v>
      </c>
      <c r="D46" s="27" t="s">
        <v>1863</v>
      </c>
      <c r="E46" s="27" t="n">
        <v>211</v>
      </c>
      <c r="F46" s="28" t="s">
        <v>1864</v>
      </c>
    </row>
    <row r="47" customFormat="false" ht="18" hidden="false" customHeight="true" outlineLevel="0" collapsed="false">
      <c r="A47" s="26" t="s">
        <v>1850</v>
      </c>
      <c r="B47" s="27" t="s">
        <v>114</v>
      </c>
      <c r="C47" s="27" t="s">
        <v>381</v>
      </c>
      <c r="D47" s="27" t="s">
        <v>1865</v>
      </c>
      <c r="E47" s="27" t="s">
        <v>381</v>
      </c>
      <c r="F47" s="27" t="s">
        <v>1866</v>
      </c>
    </row>
    <row r="48" customFormat="false" ht="18" hidden="false" customHeight="true" outlineLevel="0" collapsed="false">
      <c r="A48" s="26" t="s">
        <v>1839</v>
      </c>
      <c r="B48" s="27" t="s">
        <v>114</v>
      </c>
      <c r="C48" s="27" t="s">
        <v>381</v>
      </c>
      <c r="D48" s="27" t="s">
        <v>1867</v>
      </c>
      <c r="E48" s="27" t="s">
        <v>381</v>
      </c>
      <c r="F48" s="239" t="s">
        <v>1868</v>
      </c>
    </row>
    <row r="49" customFormat="false" ht="18" hidden="false" customHeight="true" outlineLevel="0" collapsed="false">
      <c r="A49" s="26" t="s">
        <v>1843</v>
      </c>
      <c r="B49" s="27" t="s">
        <v>114</v>
      </c>
      <c r="C49" s="27" t="s">
        <v>381</v>
      </c>
      <c r="D49" s="27" t="s">
        <v>1869</v>
      </c>
      <c r="E49" s="27" t="s">
        <v>381</v>
      </c>
      <c r="F49" s="239" t="s">
        <v>1868</v>
      </c>
    </row>
    <row r="50" customFormat="false" ht="18" hidden="false" customHeight="true" outlineLevel="0" collapsed="false">
      <c r="A50" s="26" t="s">
        <v>1847</v>
      </c>
      <c r="B50" s="27" t="s">
        <v>114</v>
      </c>
      <c r="C50" s="27" t="s">
        <v>381</v>
      </c>
      <c r="D50" s="27" t="s">
        <v>1870</v>
      </c>
      <c r="E50" s="27" t="s">
        <v>381</v>
      </c>
      <c r="F50" s="239" t="s">
        <v>1868</v>
      </c>
    </row>
    <row r="51" customFormat="false" ht="18" hidden="false" customHeight="true" outlineLevel="0" collapsed="false">
      <c r="A51" s="26" t="s">
        <v>1842</v>
      </c>
      <c r="B51" s="27" t="s">
        <v>114</v>
      </c>
      <c r="C51" s="27" t="s">
        <v>381</v>
      </c>
      <c r="D51" s="27" t="s">
        <v>1871</v>
      </c>
      <c r="E51" s="27" t="s">
        <v>381</v>
      </c>
      <c r="F51" s="239" t="s">
        <v>1868</v>
      </c>
    </row>
    <row r="52" customFormat="false" ht="18" hidden="false" customHeight="true" outlineLevel="0" collapsed="false">
      <c r="A52" s="26" t="s">
        <v>1858</v>
      </c>
      <c r="B52" s="27" t="s">
        <v>114</v>
      </c>
      <c r="C52" s="27" t="s">
        <v>381</v>
      </c>
      <c r="D52" s="27" t="s">
        <v>1872</v>
      </c>
      <c r="E52" s="27" t="s">
        <v>1873</v>
      </c>
      <c r="F52" s="239" t="s">
        <v>1868</v>
      </c>
    </row>
    <row r="53" customFormat="false" ht="6" hidden="false" customHeight="true" outlineLevel="0" collapsed="false">
      <c r="A53" s="4"/>
      <c r="B53" s="5"/>
      <c r="C53" s="5"/>
      <c r="D53" s="5"/>
      <c r="E53" s="5"/>
      <c r="F53" s="5"/>
    </row>
    <row r="54" customFormat="false" ht="24" hidden="false" customHeight="true" outlineLevel="0" collapsed="false">
      <c r="A54" s="6" t="s">
        <v>1874</v>
      </c>
      <c r="B54" s="6"/>
      <c r="C54" s="6"/>
      <c r="D54" s="6"/>
      <c r="E54" s="6"/>
      <c r="F54" s="6"/>
    </row>
    <row r="55" customFormat="false" ht="24" hidden="false" customHeight="true" outlineLevel="0" collapsed="false">
      <c r="A55" s="24" t="s">
        <v>1875</v>
      </c>
      <c r="B55" s="25" t="s">
        <v>105</v>
      </c>
      <c r="C55" s="25" t="s">
        <v>794</v>
      </c>
      <c r="D55" s="25" t="s">
        <v>950</v>
      </c>
      <c r="E55" s="25" t="s">
        <v>92</v>
      </c>
      <c r="F55" s="25" t="s">
        <v>512</v>
      </c>
    </row>
    <row r="56" customFormat="false" ht="18" hidden="false" customHeight="true" outlineLevel="0" collapsed="false">
      <c r="A56" s="26" t="s">
        <v>1876</v>
      </c>
      <c r="B56" s="27" t="s">
        <v>108</v>
      </c>
      <c r="C56" s="27" t="s">
        <v>1877</v>
      </c>
      <c r="D56" s="27" t="s">
        <v>1878</v>
      </c>
      <c r="E56" s="27" t="n">
        <v>296</v>
      </c>
      <c r="F56" s="27" t="s">
        <v>1879</v>
      </c>
    </row>
    <row r="57" customFormat="false" ht="18" hidden="false" customHeight="true" outlineLevel="0" collapsed="false">
      <c r="A57" s="26" t="s">
        <v>1880</v>
      </c>
      <c r="B57" s="27" t="s">
        <v>108</v>
      </c>
      <c r="C57" s="27" t="s">
        <v>1881</v>
      </c>
      <c r="D57" s="27" t="s">
        <v>1882</v>
      </c>
      <c r="E57" s="27" t="n">
        <v>388</v>
      </c>
      <c r="F57" s="27" t="s">
        <v>1801</v>
      </c>
    </row>
    <row r="58" customFormat="false" ht="18" hidden="false" customHeight="true" outlineLevel="0" collapsed="false">
      <c r="A58" s="26" t="s">
        <v>1883</v>
      </c>
      <c r="B58" s="27" t="s">
        <v>108</v>
      </c>
      <c r="C58" s="27" t="s">
        <v>1884</v>
      </c>
      <c r="D58" s="27" t="s">
        <v>1885</v>
      </c>
      <c r="E58" s="27" t="n">
        <v>351</v>
      </c>
      <c r="F58" s="27" t="s">
        <v>1801</v>
      </c>
    </row>
    <row r="59" customFormat="false" ht="18" hidden="false" customHeight="true" outlineLevel="0" collapsed="false">
      <c r="A59" s="26" t="s">
        <v>1886</v>
      </c>
      <c r="B59" s="27" t="s">
        <v>108</v>
      </c>
      <c r="C59" s="27" t="s">
        <v>1887</v>
      </c>
      <c r="D59" s="27" t="s">
        <v>1888</v>
      </c>
      <c r="E59" s="27" t="n">
        <v>375</v>
      </c>
      <c r="F59" s="27" t="s">
        <v>1889</v>
      </c>
    </row>
    <row r="60" customFormat="false" ht="18" hidden="false" customHeight="true" outlineLevel="0" collapsed="false">
      <c r="A60" s="26" t="s">
        <v>1883</v>
      </c>
      <c r="B60" s="27" t="s">
        <v>111</v>
      </c>
      <c r="C60" s="27" t="s">
        <v>1890</v>
      </c>
      <c r="D60" s="27" t="s">
        <v>1891</v>
      </c>
      <c r="E60" s="27" t="n">
        <v>216</v>
      </c>
      <c r="F60" s="27" t="s">
        <v>1892</v>
      </c>
    </row>
    <row r="61" customFormat="false" ht="18" hidden="false" customHeight="true" outlineLevel="0" collapsed="false">
      <c r="A61" s="26" t="s">
        <v>1886</v>
      </c>
      <c r="B61" s="27" t="s">
        <v>111</v>
      </c>
      <c r="C61" s="27" t="s">
        <v>1893</v>
      </c>
      <c r="D61" s="27" t="s">
        <v>1894</v>
      </c>
      <c r="E61" s="27" t="n">
        <v>241</v>
      </c>
      <c r="F61" s="27" t="s">
        <v>1895</v>
      </c>
    </row>
    <row r="62" customFormat="false" ht="18" hidden="false" customHeight="true" outlineLevel="0" collapsed="false">
      <c r="A62" s="26" t="s">
        <v>1880</v>
      </c>
      <c r="B62" s="27" t="s">
        <v>111</v>
      </c>
      <c r="C62" s="27" t="s">
        <v>588</v>
      </c>
      <c r="D62" s="27" t="s">
        <v>1896</v>
      </c>
      <c r="E62" s="27" t="n">
        <v>257</v>
      </c>
      <c r="F62" s="27" t="s">
        <v>1897</v>
      </c>
    </row>
    <row r="63" customFormat="false" ht="18" hidden="false" customHeight="true" outlineLevel="0" collapsed="false">
      <c r="A63" s="26" t="s">
        <v>1883</v>
      </c>
      <c r="B63" s="27" t="s">
        <v>114</v>
      </c>
      <c r="C63" s="27" t="s">
        <v>613</v>
      </c>
      <c r="D63" s="27" t="s">
        <v>1898</v>
      </c>
      <c r="E63" s="27" t="n">
        <v>316</v>
      </c>
      <c r="F63" s="27" t="s">
        <v>1899</v>
      </c>
    </row>
    <row r="64" customFormat="false" ht="18" hidden="false" customHeight="true" outlineLevel="0" collapsed="false">
      <c r="A64" s="26" t="s">
        <v>1876</v>
      </c>
      <c r="B64" s="27" t="s">
        <v>114</v>
      </c>
      <c r="C64" s="27" t="s">
        <v>1900</v>
      </c>
      <c r="D64" s="27" t="s">
        <v>1901</v>
      </c>
      <c r="E64" s="27" t="n">
        <v>366</v>
      </c>
      <c r="F64" s="27" t="s">
        <v>1902</v>
      </c>
    </row>
    <row r="65" customFormat="false" ht="6" hidden="false" customHeight="true" outlineLevel="0" collapsed="false">
      <c r="A65" s="4"/>
      <c r="B65" s="5"/>
      <c r="C65" s="5"/>
      <c r="D65" s="5"/>
      <c r="E65" s="5"/>
      <c r="F65" s="5"/>
    </row>
    <row r="66" customFormat="false" ht="24" hidden="false" customHeight="true" outlineLevel="0" collapsed="false">
      <c r="A66" s="238" t="s">
        <v>1903</v>
      </c>
      <c r="B66" s="238"/>
      <c r="C66" s="238"/>
      <c r="D66" s="238"/>
      <c r="E66" s="238"/>
      <c r="F66" s="238"/>
    </row>
    <row r="67" customFormat="false" ht="24" hidden="false" customHeight="true" outlineLevel="0" collapsed="false">
      <c r="A67" s="24" t="s">
        <v>1904</v>
      </c>
      <c r="B67" s="25" t="s">
        <v>105</v>
      </c>
      <c r="C67" s="25" t="s">
        <v>794</v>
      </c>
      <c r="D67" s="25" t="s">
        <v>950</v>
      </c>
      <c r="E67" s="25" t="s">
        <v>92</v>
      </c>
      <c r="F67" s="25" t="s">
        <v>512</v>
      </c>
    </row>
    <row r="68" customFormat="false" ht="18" hidden="false" customHeight="true" outlineLevel="0" collapsed="false">
      <c r="A68" s="26" t="s">
        <v>1905</v>
      </c>
      <c r="B68" s="27" t="s">
        <v>108</v>
      </c>
      <c r="C68" s="27" t="s">
        <v>1906</v>
      </c>
      <c r="D68" s="27" t="s">
        <v>1907</v>
      </c>
      <c r="E68" s="27" t="n">
        <v>22</v>
      </c>
      <c r="F68" s="27" t="s">
        <v>1908</v>
      </c>
    </row>
    <row r="69" customFormat="false" ht="18" hidden="false" customHeight="true" outlineLevel="0" collapsed="false">
      <c r="A69" s="26" t="s">
        <v>1909</v>
      </c>
      <c r="B69" s="27" t="s">
        <v>108</v>
      </c>
      <c r="C69" s="27" t="s">
        <v>1910</v>
      </c>
      <c r="D69" s="27" t="s">
        <v>1911</v>
      </c>
      <c r="E69" s="27" t="n">
        <v>36</v>
      </c>
      <c r="F69" s="27" t="s">
        <v>1912</v>
      </c>
    </row>
    <row r="70" customFormat="false" ht="18" hidden="false" customHeight="true" outlineLevel="0" collapsed="false">
      <c r="A70" s="26" t="s">
        <v>1913</v>
      </c>
      <c r="B70" s="27" t="s">
        <v>108</v>
      </c>
      <c r="C70" s="27" t="s">
        <v>1914</v>
      </c>
      <c r="D70" s="27" t="s">
        <v>324</v>
      </c>
      <c r="E70" s="27" t="n">
        <v>106</v>
      </c>
      <c r="F70" s="27" t="s">
        <v>1915</v>
      </c>
    </row>
    <row r="71" customFormat="false" ht="18" hidden="false" customHeight="true" outlineLevel="0" collapsed="false">
      <c r="A71" s="26" t="s">
        <v>1916</v>
      </c>
      <c r="B71" s="27" t="s">
        <v>108</v>
      </c>
      <c r="C71" s="27" t="s">
        <v>1917</v>
      </c>
      <c r="D71" s="27" t="s">
        <v>309</v>
      </c>
      <c r="E71" s="27" t="n">
        <v>35</v>
      </c>
      <c r="F71" s="27" t="s">
        <v>1918</v>
      </c>
    </row>
    <row r="72" customFormat="false" ht="18" hidden="false" customHeight="true" outlineLevel="0" collapsed="false">
      <c r="A72" s="26" t="s">
        <v>1919</v>
      </c>
      <c r="B72" s="27" t="s">
        <v>108</v>
      </c>
      <c r="C72" s="27" t="s">
        <v>1920</v>
      </c>
      <c r="D72" s="27" t="s">
        <v>1882</v>
      </c>
      <c r="E72" s="27" t="n">
        <v>519</v>
      </c>
      <c r="F72" s="27" t="s">
        <v>1921</v>
      </c>
    </row>
    <row r="73" customFormat="false" ht="18" hidden="false" customHeight="true" outlineLevel="0" collapsed="false">
      <c r="A73" s="26" t="s">
        <v>1922</v>
      </c>
      <c r="B73" s="27" t="s">
        <v>108</v>
      </c>
      <c r="C73" s="27" t="s">
        <v>381</v>
      </c>
      <c r="D73" s="27" t="s">
        <v>1923</v>
      </c>
      <c r="E73" s="27" t="s">
        <v>381</v>
      </c>
      <c r="F73" s="27" t="s">
        <v>465</v>
      </c>
    </row>
    <row r="74" customFormat="false" ht="18" hidden="false" customHeight="true" outlineLevel="0" collapsed="false">
      <c r="A74" s="26" t="s">
        <v>1924</v>
      </c>
      <c r="B74" s="27" t="s">
        <v>108</v>
      </c>
      <c r="C74" s="27" t="s">
        <v>381</v>
      </c>
      <c r="D74" s="27" t="s">
        <v>1925</v>
      </c>
      <c r="E74" s="27" t="s">
        <v>381</v>
      </c>
      <c r="F74" s="27" t="s">
        <v>1926</v>
      </c>
    </row>
    <row r="75" customFormat="false" ht="18" hidden="false" customHeight="true" outlineLevel="0" collapsed="false">
      <c r="A75" s="26" t="s">
        <v>1927</v>
      </c>
      <c r="B75" s="27" t="s">
        <v>108</v>
      </c>
      <c r="C75" s="27" t="s">
        <v>381</v>
      </c>
      <c r="D75" s="27" t="s">
        <v>1928</v>
      </c>
      <c r="E75" s="27" t="s">
        <v>381</v>
      </c>
      <c r="F75" s="27" t="s">
        <v>1929</v>
      </c>
    </row>
    <row r="76" customFormat="false" ht="6" hidden="false" customHeight="true" outlineLevel="0" collapsed="false">
      <c r="A76" s="4"/>
      <c r="B76" s="5"/>
      <c r="C76" s="5"/>
      <c r="D76" s="5"/>
      <c r="E76" s="5"/>
      <c r="F76" s="5"/>
    </row>
    <row r="77" customFormat="false" ht="24" hidden="false" customHeight="true" outlineLevel="0" collapsed="false">
      <c r="A77" s="238" t="s">
        <v>1930</v>
      </c>
      <c r="B77" s="238"/>
      <c r="C77" s="238"/>
      <c r="D77" s="238"/>
      <c r="E77" s="238"/>
      <c r="F77" s="238"/>
    </row>
    <row r="78" customFormat="false" ht="24" hidden="false" customHeight="true" outlineLevel="0" collapsed="false">
      <c r="A78" s="24" t="s">
        <v>1931</v>
      </c>
      <c r="B78" s="25" t="s">
        <v>105</v>
      </c>
      <c r="C78" s="25" t="s">
        <v>794</v>
      </c>
      <c r="D78" s="25" t="s">
        <v>1371</v>
      </c>
      <c r="E78" s="25" t="s">
        <v>92</v>
      </c>
      <c r="F78" s="25" t="s">
        <v>512</v>
      </c>
    </row>
    <row r="79" customFormat="false" ht="18" hidden="false" customHeight="true" outlineLevel="0" collapsed="false">
      <c r="A79" s="26" t="s">
        <v>1932</v>
      </c>
      <c r="B79" s="27" t="s">
        <v>108</v>
      </c>
      <c r="C79" s="27" t="s">
        <v>381</v>
      </c>
      <c r="D79" s="27" t="s">
        <v>1933</v>
      </c>
      <c r="E79" s="27" t="s">
        <v>381</v>
      </c>
      <c r="F79" s="28" t="s">
        <v>1934</v>
      </c>
    </row>
    <row r="80" customFormat="false" ht="18" hidden="false" customHeight="true" outlineLevel="0" collapsed="false">
      <c r="A80" s="26" t="s">
        <v>1935</v>
      </c>
      <c r="B80" s="27" t="s">
        <v>108</v>
      </c>
      <c r="C80" s="27" t="s">
        <v>381</v>
      </c>
      <c r="D80" s="27" t="s">
        <v>1936</v>
      </c>
      <c r="E80" s="27" t="s">
        <v>381</v>
      </c>
      <c r="F80" s="239" t="s">
        <v>1937</v>
      </c>
    </row>
    <row r="81" customFormat="false" ht="18" hidden="false" customHeight="true" outlineLevel="0" collapsed="false">
      <c r="A81" s="26" t="s">
        <v>1938</v>
      </c>
      <c r="B81" s="27" t="s">
        <v>108</v>
      </c>
      <c r="C81" s="27" t="s">
        <v>381</v>
      </c>
      <c r="D81" s="27" t="s">
        <v>1939</v>
      </c>
      <c r="E81" s="27" t="s">
        <v>381</v>
      </c>
      <c r="F81" s="239" t="s">
        <v>1940</v>
      </c>
    </row>
    <row r="82" customFormat="false" ht="18" hidden="false" customHeight="true" outlineLevel="0" collapsed="false">
      <c r="A82" s="26" t="s">
        <v>1941</v>
      </c>
      <c r="B82" s="27" t="s">
        <v>108</v>
      </c>
      <c r="C82" s="27" t="s">
        <v>381</v>
      </c>
      <c r="D82" s="27" t="s">
        <v>1942</v>
      </c>
      <c r="E82" s="27" t="s">
        <v>381</v>
      </c>
      <c r="F82" s="239" t="s">
        <v>1943</v>
      </c>
    </row>
    <row r="83" customFormat="false" ht="18" hidden="false" customHeight="true" outlineLevel="0" collapsed="false">
      <c r="A83" s="26" t="s">
        <v>1932</v>
      </c>
      <c r="B83" s="27" t="s">
        <v>111</v>
      </c>
      <c r="C83" s="27" t="s">
        <v>381</v>
      </c>
      <c r="D83" s="27" t="s">
        <v>1944</v>
      </c>
      <c r="E83" s="27" t="s">
        <v>381</v>
      </c>
      <c r="F83" s="28" t="s">
        <v>1945</v>
      </c>
    </row>
    <row r="84" customFormat="false" ht="18" hidden="false" customHeight="true" outlineLevel="0" collapsed="false">
      <c r="A84" s="26" t="s">
        <v>1941</v>
      </c>
      <c r="B84" s="27" t="s">
        <v>111</v>
      </c>
      <c r="C84" s="27" t="s">
        <v>381</v>
      </c>
      <c r="D84" s="27" t="s">
        <v>1946</v>
      </c>
      <c r="E84" s="27" t="s">
        <v>381</v>
      </c>
      <c r="F84" s="239" t="s">
        <v>1947</v>
      </c>
    </row>
    <row r="85" customFormat="false" ht="6" hidden="false" customHeight="true" outlineLevel="0" collapsed="false">
      <c r="A85" s="4"/>
      <c r="B85" s="5"/>
      <c r="C85" s="5"/>
      <c r="D85" s="5"/>
      <c r="E85" s="5"/>
      <c r="F85" s="5"/>
    </row>
    <row r="86" customFormat="false" ht="24" hidden="false" customHeight="true" outlineLevel="0" collapsed="false">
      <c r="A86" s="238" t="s">
        <v>1948</v>
      </c>
      <c r="B86" s="238"/>
      <c r="C86" s="238"/>
      <c r="D86" s="238"/>
      <c r="E86" s="238"/>
      <c r="F86" s="238"/>
    </row>
    <row r="87" customFormat="false" ht="21.75" hidden="false" customHeight="true" outlineLevel="0" collapsed="false">
      <c r="A87" s="241" t="s">
        <v>1949</v>
      </c>
      <c r="B87" s="241"/>
      <c r="C87" s="241"/>
      <c r="D87" s="241"/>
      <c r="E87" s="241"/>
      <c r="F87" s="241"/>
    </row>
    <row r="88" customFormat="false" ht="24" hidden="false" customHeight="true" outlineLevel="0" collapsed="false">
      <c r="A88" s="24" t="s">
        <v>1950</v>
      </c>
      <c r="B88" s="25" t="s">
        <v>105</v>
      </c>
      <c r="C88" s="25" t="s">
        <v>794</v>
      </c>
      <c r="D88" s="25" t="s">
        <v>950</v>
      </c>
      <c r="E88" s="25" t="s">
        <v>92</v>
      </c>
      <c r="F88" s="25" t="s">
        <v>512</v>
      </c>
    </row>
    <row r="89" customFormat="false" ht="18" hidden="false" customHeight="true" outlineLevel="0" collapsed="false">
      <c r="A89" s="26" t="s">
        <v>1951</v>
      </c>
      <c r="B89" s="27" t="s">
        <v>1117</v>
      </c>
      <c r="C89" s="27" t="s">
        <v>363</v>
      </c>
      <c r="D89" s="27" t="s">
        <v>364</v>
      </c>
      <c r="E89" s="27" t="n">
        <v>373</v>
      </c>
      <c r="F89" s="28" t="s">
        <v>1952</v>
      </c>
    </row>
    <row r="90" customFormat="false" ht="18" hidden="false" customHeight="true" outlineLevel="0" collapsed="false">
      <c r="A90" s="26" t="s">
        <v>1953</v>
      </c>
      <c r="B90" s="27" t="s">
        <v>1117</v>
      </c>
      <c r="C90" s="27" t="s">
        <v>366</v>
      </c>
      <c r="D90" s="27" t="s">
        <v>367</v>
      </c>
      <c r="E90" s="27" t="n">
        <v>396</v>
      </c>
      <c r="F90" s="28" t="s">
        <v>1954</v>
      </c>
    </row>
    <row r="91" customFormat="false" ht="18" hidden="false" customHeight="true" outlineLevel="0" collapsed="false">
      <c r="A91" s="26" t="s">
        <v>1955</v>
      </c>
      <c r="B91" s="27" t="s">
        <v>1117</v>
      </c>
      <c r="C91" s="27" t="s">
        <v>339</v>
      </c>
      <c r="D91" s="27" t="s">
        <v>340</v>
      </c>
      <c r="E91" s="27" t="n">
        <v>108</v>
      </c>
      <c r="F91" s="28" t="s">
        <v>1956</v>
      </c>
    </row>
    <row r="92" customFormat="false" ht="18" hidden="false" customHeight="true" outlineLevel="0" collapsed="false">
      <c r="A92" s="26" t="s">
        <v>1957</v>
      </c>
      <c r="B92" s="27" t="s">
        <v>1117</v>
      </c>
      <c r="C92" s="27" t="s">
        <v>381</v>
      </c>
      <c r="D92" s="27" t="s">
        <v>1958</v>
      </c>
      <c r="E92" s="27" t="s">
        <v>381</v>
      </c>
      <c r="F92" s="28" t="s">
        <v>1959</v>
      </c>
    </row>
    <row r="93" customFormat="false" ht="18" hidden="false" customHeight="true" outlineLevel="0" collapsed="false">
      <c r="A93" s="26" t="s">
        <v>1960</v>
      </c>
      <c r="B93" s="27" t="s">
        <v>1117</v>
      </c>
      <c r="C93" s="27" t="s">
        <v>381</v>
      </c>
      <c r="D93" s="27" t="s">
        <v>1961</v>
      </c>
      <c r="E93" s="27" t="s">
        <v>381</v>
      </c>
      <c r="F93" s="28" t="s">
        <v>1962</v>
      </c>
    </row>
    <row r="94" customFormat="false" ht="18" hidden="false" customHeight="true" outlineLevel="0" collapsed="false">
      <c r="A94" s="26" t="s">
        <v>1963</v>
      </c>
      <c r="B94" s="27" t="s">
        <v>1117</v>
      </c>
      <c r="C94" s="27" t="s">
        <v>381</v>
      </c>
      <c r="D94" s="27" t="s">
        <v>1964</v>
      </c>
      <c r="E94" s="27" t="s">
        <v>381</v>
      </c>
      <c r="F94" s="28" t="s">
        <v>1962</v>
      </c>
    </row>
    <row r="95" customFormat="false" ht="18" hidden="false" customHeight="true" outlineLevel="0" collapsed="false">
      <c r="A95" s="26" t="s">
        <v>1965</v>
      </c>
      <c r="B95" s="27" t="s">
        <v>1117</v>
      </c>
      <c r="C95" s="27" t="s">
        <v>381</v>
      </c>
      <c r="D95" s="27" t="s">
        <v>1966</v>
      </c>
      <c r="E95" s="27" t="s">
        <v>381</v>
      </c>
      <c r="F95" s="28" t="s">
        <v>1962</v>
      </c>
    </row>
    <row r="96" customFormat="false" ht="21.75" hidden="false" customHeight="true" outlineLevel="0" collapsed="false">
      <c r="A96" s="241" t="s">
        <v>1967</v>
      </c>
      <c r="B96" s="241"/>
      <c r="C96" s="241"/>
      <c r="D96" s="241"/>
      <c r="E96" s="241"/>
      <c r="F96" s="241"/>
    </row>
    <row r="97" customFormat="false" ht="6" hidden="false" customHeight="true" outlineLevel="0" collapsed="false">
      <c r="A97" s="4"/>
      <c r="B97" s="5"/>
      <c r="C97" s="5"/>
      <c r="D97" s="5"/>
      <c r="E97" s="5"/>
      <c r="F97" s="5"/>
    </row>
    <row r="98" customFormat="false" ht="18" hidden="false" customHeight="true" outlineLevel="0" collapsed="false">
      <c r="A98" s="26" t="s">
        <v>1968</v>
      </c>
      <c r="B98" s="27" t="s">
        <v>1117</v>
      </c>
      <c r="C98" s="27" t="s">
        <v>1969</v>
      </c>
      <c r="D98" s="27" t="s">
        <v>1970</v>
      </c>
      <c r="E98" s="27" t="n">
        <v>201</v>
      </c>
      <c r="F98" s="239" t="s">
        <v>1971</v>
      </c>
    </row>
    <row r="99" customFormat="false" ht="18" hidden="false" customHeight="true" outlineLevel="0" collapsed="false">
      <c r="A99" s="26" t="s">
        <v>1972</v>
      </c>
      <c r="B99" s="27" t="s">
        <v>1117</v>
      </c>
      <c r="C99" s="27" t="s">
        <v>604</v>
      </c>
      <c r="D99" s="27" t="s">
        <v>1973</v>
      </c>
      <c r="E99" s="27" t="n">
        <v>207</v>
      </c>
      <c r="F99" s="239" t="s">
        <v>1971</v>
      </c>
    </row>
    <row r="100" customFormat="false" ht="18" hidden="false" customHeight="true" outlineLevel="0" collapsed="false">
      <c r="A100" s="26" t="s">
        <v>1974</v>
      </c>
      <c r="B100" s="27" t="s">
        <v>1117</v>
      </c>
      <c r="C100" s="27" t="s">
        <v>1975</v>
      </c>
      <c r="D100" s="27" t="s">
        <v>1976</v>
      </c>
      <c r="E100" s="27" t="s">
        <v>381</v>
      </c>
      <c r="F100" s="239" t="s">
        <v>1971</v>
      </c>
    </row>
    <row r="101" customFormat="false" ht="18" hidden="false" customHeight="true" outlineLevel="0" collapsed="false">
      <c r="A101" s="26" t="s">
        <v>1977</v>
      </c>
      <c r="B101" s="27" t="s">
        <v>1117</v>
      </c>
      <c r="C101" s="27" t="s">
        <v>381</v>
      </c>
      <c r="D101" s="27" t="s">
        <v>1978</v>
      </c>
      <c r="E101" s="27" t="s">
        <v>381</v>
      </c>
      <c r="F101" s="239" t="s">
        <v>1979</v>
      </c>
    </row>
    <row r="102" customFormat="false" ht="18" hidden="false" customHeight="true" outlineLevel="0" collapsed="false">
      <c r="A102" s="26" t="s">
        <v>1980</v>
      </c>
      <c r="B102" s="27" t="s">
        <v>1117</v>
      </c>
      <c r="C102" s="27" t="s">
        <v>381</v>
      </c>
      <c r="D102" s="27" t="s">
        <v>1981</v>
      </c>
      <c r="E102" s="27" t="s">
        <v>381</v>
      </c>
      <c r="F102" s="239" t="s">
        <v>1982</v>
      </c>
    </row>
    <row r="103" customFormat="false" ht="6" hidden="false" customHeight="true" outlineLevel="0" collapsed="false">
      <c r="A103" s="4"/>
      <c r="B103" s="5"/>
      <c r="C103" s="5"/>
      <c r="D103" s="5"/>
      <c r="E103" s="5"/>
      <c r="F103" s="5"/>
    </row>
    <row r="104" customFormat="false" ht="24" hidden="false" customHeight="true" outlineLevel="0" collapsed="false">
      <c r="A104" s="238" t="s">
        <v>1983</v>
      </c>
      <c r="B104" s="238"/>
      <c r="C104" s="238"/>
      <c r="D104" s="238"/>
      <c r="E104" s="238"/>
      <c r="F104" s="238"/>
    </row>
    <row r="105" customFormat="false" ht="21.75" hidden="false" customHeight="true" outlineLevel="0" collapsed="false">
      <c r="A105" s="241" t="s">
        <v>1984</v>
      </c>
      <c r="B105" s="241"/>
      <c r="C105" s="241"/>
      <c r="D105" s="241"/>
      <c r="E105" s="241"/>
      <c r="F105" s="241"/>
    </row>
    <row r="106" customFormat="false" ht="24" hidden="false" customHeight="true" outlineLevel="0" collapsed="false">
      <c r="A106" s="24" t="s">
        <v>1985</v>
      </c>
      <c r="B106" s="25" t="s">
        <v>105</v>
      </c>
      <c r="C106" s="25" t="s">
        <v>794</v>
      </c>
      <c r="D106" s="25" t="s">
        <v>950</v>
      </c>
      <c r="E106" s="25" t="s">
        <v>92</v>
      </c>
      <c r="F106" s="25" t="s">
        <v>512</v>
      </c>
    </row>
    <row r="107" customFormat="false" ht="18" hidden="false" customHeight="true" outlineLevel="0" collapsed="false">
      <c r="A107" s="26" t="s">
        <v>1986</v>
      </c>
      <c r="B107" s="27" t="s">
        <v>108</v>
      </c>
      <c r="C107" s="27" t="s">
        <v>369</v>
      </c>
      <c r="D107" s="27" t="s">
        <v>370</v>
      </c>
      <c r="E107" s="27" t="n">
        <v>45</v>
      </c>
      <c r="F107" s="240" t="s">
        <v>1987</v>
      </c>
    </row>
    <row r="108" customFormat="false" ht="18" hidden="false" customHeight="true" outlineLevel="0" collapsed="false">
      <c r="A108" s="26" t="s">
        <v>1988</v>
      </c>
      <c r="B108" s="27" t="s">
        <v>108</v>
      </c>
      <c r="C108" s="27" t="s">
        <v>330</v>
      </c>
      <c r="D108" s="27" t="s">
        <v>331</v>
      </c>
      <c r="E108" s="27" t="n">
        <v>43</v>
      </c>
      <c r="F108" s="240" t="s">
        <v>1989</v>
      </c>
    </row>
    <row r="109" customFormat="false" ht="18" hidden="false" customHeight="true" outlineLevel="0" collapsed="false">
      <c r="A109" s="26" t="s">
        <v>1990</v>
      </c>
      <c r="B109" s="27" t="s">
        <v>108</v>
      </c>
      <c r="C109" s="27" t="s">
        <v>320</v>
      </c>
      <c r="D109" s="27" t="s">
        <v>321</v>
      </c>
      <c r="E109" s="27" t="n">
        <v>11</v>
      </c>
      <c r="F109" s="27" t="s">
        <v>1991</v>
      </c>
    </row>
    <row r="110" customFormat="false" ht="18" hidden="false" customHeight="true" outlineLevel="0" collapsed="false">
      <c r="A110" s="26" t="s">
        <v>1992</v>
      </c>
      <c r="B110" s="27" t="s">
        <v>108</v>
      </c>
      <c r="C110" s="27" t="s">
        <v>381</v>
      </c>
      <c r="D110" s="27" t="s">
        <v>958</v>
      </c>
      <c r="E110" s="27" t="s">
        <v>381</v>
      </c>
      <c r="F110" s="27" t="s">
        <v>1993</v>
      </c>
    </row>
    <row r="111" customFormat="false" ht="18" hidden="false" customHeight="true" outlineLevel="0" collapsed="false">
      <c r="A111" s="26" t="s">
        <v>1994</v>
      </c>
      <c r="B111" s="27" t="s">
        <v>108</v>
      </c>
      <c r="C111" s="27" t="s">
        <v>381</v>
      </c>
      <c r="D111" s="27" t="s">
        <v>962</v>
      </c>
      <c r="E111" s="27" t="s">
        <v>381</v>
      </c>
      <c r="F111" s="27" t="s">
        <v>1995</v>
      </c>
    </row>
    <row r="112" customFormat="false" ht="18" hidden="false" customHeight="true" outlineLevel="0" collapsed="false">
      <c r="A112" s="26" t="s">
        <v>1996</v>
      </c>
      <c r="B112" s="27" t="s">
        <v>108</v>
      </c>
      <c r="C112" s="27" t="s">
        <v>372</v>
      </c>
      <c r="D112" s="27" t="s">
        <v>373</v>
      </c>
      <c r="E112" s="27" t="n">
        <v>23</v>
      </c>
      <c r="F112" s="27" t="s">
        <v>1997</v>
      </c>
    </row>
    <row r="113" customFormat="false" ht="18" hidden="false" customHeight="true" outlineLevel="0" collapsed="false">
      <c r="A113" s="26" t="s">
        <v>1998</v>
      </c>
      <c r="B113" s="27" t="s">
        <v>108</v>
      </c>
      <c r="C113" s="27" t="s">
        <v>345</v>
      </c>
      <c r="D113" s="27" t="s">
        <v>346</v>
      </c>
      <c r="E113" s="27" t="n">
        <v>22</v>
      </c>
      <c r="F113" s="27" t="s">
        <v>1999</v>
      </c>
    </row>
    <row r="114" customFormat="false" ht="18" hidden="false" customHeight="true" outlineLevel="0" collapsed="false">
      <c r="A114" s="26" t="s">
        <v>2000</v>
      </c>
      <c r="B114" s="27" t="s">
        <v>1117</v>
      </c>
      <c r="C114" s="27" t="s">
        <v>955</v>
      </c>
      <c r="D114" s="27" t="s">
        <v>2001</v>
      </c>
      <c r="E114" s="27" t="s">
        <v>381</v>
      </c>
      <c r="F114" s="27" t="s">
        <v>2002</v>
      </c>
    </row>
    <row r="115" customFormat="false" ht="18" hidden="false" customHeight="true" outlineLevel="0" collapsed="false">
      <c r="A115" s="26" t="s">
        <v>2003</v>
      </c>
      <c r="B115" s="27" t="s">
        <v>1117</v>
      </c>
      <c r="C115" s="27" t="s">
        <v>2004</v>
      </c>
      <c r="D115" s="27" t="s">
        <v>2005</v>
      </c>
      <c r="E115" s="27" t="s">
        <v>381</v>
      </c>
      <c r="F115" s="27" t="s">
        <v>2006</v>
      </c>
    </row>
    <row r="116" customFormat="false" ht="18" hidden="false" customHeight="true" outlineLevel="0" collapsed="false">
      <c r="A116" s="26" t="s">
        <v>1998</v>
      </c>
      <c r="B116" s="27" t="s">
        <v>1117</v>
      </c>
      <c r="C116" s="27" t="s">
        <v>2007</v>
      </c>
      <c r="D116" s="27" t="s">
        <v>2008</v>
      </c>
      <c r="E116" s="27" t="s">
        <v>381</v>
      </c>
      <c r="F116" s="27" t="s">
        <v>2009</v>
      </c>
    </row>
    <row r="117" customFormat="false" ht="18" hidden="false" customHeight="true" outlineLevel="0" collapsed="false">
      <c r="A117" s="26" t="s">
        <v>1996</v>
      </c>
      <c r="B117" s="27" t="s">
        <v>1117</v>
      </c>
      <c r="C117" s="27" t="s">
        <v>959</v>
      </c>
      <c r="D117" s="27" t="s">
        <v>1835</v>
      </c>
      <c r="E117" s="27" t="s">
        <v>381</v>
      </c>
      <c r="F117" s="27" t="s">
        <v>2010</v>
      </c>
    </row>
    <row r="118" customFormat="false" ht="18" hidden="false" customHeight="true" outlineLevel="0" collapsed="false">
      <c r="A118" s="26" t="s">
        <v>2011</v>
      </c>
      <c r="B118" s="27" t="s">
        <v>1117</v>
      </c>
      <c r="C118" s="27" t="s">
        <v>381</v>
      </c>
      <c r="D118" s="27" t="s">
        <v>966</v>
      </c>
      <c r="E118" s="27" t="s">
        <v>381</v>
      </c>
      <c r="F118" s="239" t="s">
        <v>2012</v>
      </c>
    </row>
    <row r="119" customFormat="false" ht="6" hidden="false" customHeight="true" outlineLevel="0" collapsed="false">
      <c r="A119" s="4"/>
      <c r="B119" s="5"/>
      <c r="C119" s="5"/>
      <c r="D119" s="5"/>
      <c r="E119" s="5"/>
      <c r="F119" s="5"/>
    </row>
    <row r="120" customFormat="false" ht="24" hidden="false" customHeight="true" outlineLevel="0" collapsed="false">
      <c r="A120" s="238" t="s">
        <v>2013</v>
      </c>
      <c r="B120" s="238"/>
      <c r="C120" s="238"/>
      <c r="D120" s="238"/>
      <c r="E120" s="238"/>
      <c r="F120" s="238"/>
    </row>
    <row r="121" customFormat="false" ht="24" hidden="false" customHeight="true" outlineLevel="0" collapsed="false">
      <c r="A121" s="24" t="s">
        <v>2014</v>
      </c>
      <c r="B121" s="25" t="s">
        <v>105</v>
      </c>
      <c r="C121" s="25" t="s">
        <v>794</v>
      </c>
      <c r="D121" s="25" t="s">
        <v>950</v>
      </c>
      <c r="E121" s="25" t="s">
        <v>92</v>
      </c>
      <c r="F121" s="25" t="s">
        <v>512</v>
      </c>
    </row>
    <row r="122" customFormat="false" ht="23.25" hidden="false" customHeight="true" outlineLevel="0" collapsed="false">
      <c r="A122" s="26" t="s">
        <v>2015</v>
      </c>
      <c r="B122" s="27" t="s">
        <v>1117</v>
      </c>
      <c r="C122" s="27" t="s">
        <v>351</v>
      </c>
      <c r="D122" s="27" t="s">
        <v>354</v>
      </c>
      <c r="E122" s="27" t="n">
        <v>21</v>
      </c>
      <c r="F122" s="27" t="s">
        <v>2016</v>
      </c>
    </row>
    <row r="123" customFormat="false" ht="18" hidden="false" customHeight="true" outlineLevel="0" collapsed="false">
      <c r="A123" s="26" t="s">
        <v>2017</v>
      </c>
      <c r="B123" s="27" t="s">
        <v>111</v>
      </c>
      <c r="C123" s="27" t="s">
        <v>2018</v>
      </c>
      <c r="D123" s="27" t="s">
        <v>2019</v>
      </c>
      <c r="E123" s="27" t="n">
        <v>49</v>
      </c>
      <c r="F123" s="27" t="s">
        <v>2020</v>
      </c>
    </row>
    <row r="124" customFormat="false" ht="18" hidden="false" customHeight="true" outlineLevel="0" collapsed="false">
      <c r="A124" s="26" t="s">
        <v>2021</v>
      </c>
      <c r="B124" s="27" t="s">
        <v>111</v>
      </c>
      <c r="C124" s="27" t="s">
        <v>2022</v>
      </c>
      <c r="D124" s="27" t="s">
        <v>1964</v>
      </c>
      <c r="E124" s="27" t="s">
        <v>381</v>
      </c>
      <c r="F124" s="27" t="s">
        <v>2023</v>
      </c>
    </row>
    <row r="125" customFormat="false" ht="18" hidden="false" customHeight="true" outlineLevel="0" collapsed="false">
      <c r="A125" s="26" t="s">
        <v>2024</v>
      </c>
      <c r="B125" s="27" t="s">
        <v>1117</v>
      </c>
      <c r="C125" s="27" t="s">
        <v>381</v>
      </c>
      <c r="D125" s="27" t="s">
        <v>2025</v>
      </c>
      <c r="E125" s="27" t="s">
        <v>381</v>
      </c>
      <c r="F125" s="27" t="s">
        <v>2026</v>
      </c>
    </row>
    <row r="126" customFormat="false" ht="18" hidden="false" customHeight="true" outlineLevel="0" collapsed="false">
      <c r="A126" s="26" t="s">
        <v>2027</v>
      </c>
      <c r="B126" s="27" t="s">
        <v>1117</v>
      </c>
      <c r="C126" s="27" t="s">
        <v>381</v>
      </c>
      <c r="D126" s="27" t="s">
        <v>865</v>
      </c>
      <c r="E126" s="27" t="s">
        <v>381</v>
      </c>
      <c r="F126" s="27" t="s">
        <v>2026</v>
      </c>
    </row>
    <row r="127" customFormat="false" ht="18" hidden="false" customHeight="true" outlineLevel="0" collapsed="false">
      <c r="A127" s="26" t="s">
        <v>2021</v>
      </c>
      <c r="B127" s="27" t="s">
        <v>1117</v>
      </c>
      <c r="C127" s="27" t="s">
        <v>381</v>
      </c>
      <c r="D127" s="27" t="s">
        <v>460</v>
      </c>
      <c r="E127" s="27" t="s">
        <v>381</v>
      </c>
      <c r="F127" s="27" t="s">
        <v>2026</v>
      </c>
    </row>
    <row r="128" customFormat="false" ht="18" hidden="false" customHeight="true" outlineLevel="0" collapsed="false">
      <c r="A128" s="26" t="s">
        <v>2017</v>
      </c>
      <c r="B128" s="27" t="s">
        <v>1117</v>
      </c>
      <c r="C128" s="27" t="s">
        <v>381</v>
      </c>
      <c r="D128" s="27" t="s">
        <v>1848</v>
      </c>
      <c r="E128" s="27" t="s">
        <v>381</v>
      </c>
      <c r="F128" s="27" t="s">
        <v>2026</v>
      </c>
    </row>
    <row r="129" customFormat="false" ht="18" hidden="false" customHeight="true" outlineLevel="0" collapsed="false">
      <c r="A129" s="26" t="s">
        <v>2028</v>
      </c>
      <c r="B129" s="27" t="s">
        <v>1117</v>
      </c>
      <c r="C129" s="27" t="s">
        <v>381</v>
      </c>
      <c r="D129" s="27" t="s">
        <v>2029</v>
      </c>
      <c r="E129" s="27" t="s">
        <v>381</v>
      </c>
      <c r="F129" s="27" t="s">
        <v>2030</v>
      </c>
    </row>
    <row r="130" customFormat="false" ht="18" hidden="false" customHeight="true" outlineLevel="0" collapsed="false">
      <c r="A130" s="26" t="s">
        <v>2031</v>
      </c>
      <c r="B130" s="27" t="s">
        <v>1117</v>
      </c>
      <c r="C130" s="27" t="s">
        <v>381</v>
      </c>
      <c r="D130" s="27" t="s">
        <v>974</v>
      </c>
      <c r="E130" s="27" t="s">
        <v>381</v>
      </c>
      <c r="F130" s="27" t="s">
        <v>2030</v>
      </c>
    </row>
    <row r="131" customFormat="false" ht="18" hidden="false" customHeight="true" outlineLevel="0" collapsed="false">
      <c r="A131" s="26" t="s">
        <v>2032</v>
      </c>
      <c r="B131" s="27" t="s">
        <v>1117</v>
      </c>
      <c r="C131" s="27" t="s">
        <v>381</v>
      </c>
      <c r="D131" s="27" t="s">
        <v>2033</v>
      </c>
      <c r="E131" s="27" t="s">
        <v>381</v>
      </c>
      <c r="F131" s="239" t="s">
        <v>2034</v>
      </c>
    </row>
    <row r="132" customFormat="false" ht="6" hidden="false" customHeight="true" outlineLevel="0" collapsed="false">
      <c r="A132" s="4"/>
      <c r="B132" s="5"/>
      <c r="C132" s="5"/>
      <c r="D132" s="5"/>
      <c r="E132" s="5"/>
      <c r="F132" s="5"/>
    </row>
    <row r="133" customFormat="false" ht="24" hidden="false" customHeight="true" outlineLevel="0" collapsed="false">
      <c r="A133" s="238" t="s">
        <v>2035</v>
      </c>
      <c r="B133" s="238"/>
      <c r="C133" s="238"/>
      <c r="D133" s="238"/>
      <c r="E133" s="238"/>
      <c r="F133" s="238"/>
    </row>
    <row r="134" customFormat="false" ht="21.75" hidden="false" customHeight="true" outlineLevel="0" collapsed="false">
      <c r="A134" s="241" t="s">
        <v>2036</v>
      </c>
      <c r="B134" s="241"/>
      <c r="C134" s="241"/>
      <c r="D134" s="241"/>
      <c r="E134" s="241"/>
      <c r="F134" s="241"/>
    </row>
    <row r="135" customFormat="false" ht="24" hidden="false" customHeight="true" outlineLevel="0" collapsed="false">
      <c r="A135" s="24" t="s">
        <v>1403</v>
      </c>
      <c r="B135" s="25" t="s">
        <v>794</v>
      </c>
      <c r="C135" s="25" t="s">
        <v>950</v>
      </c>
      <c r="D135" s="25" t="s">
        <v>1312</v>
      </c>
      <c r="E135" s="25" t="s">
        <v>92</v>
      </c>
      <c r="F135" s="25" t="s">
        <v>512</v>
      </c>
    </row>
    <row r="136" customFormat="false" ht="18" hidden="false" customHeight="true" outlineLevel="0" collapsed="false">
      <c r="A136" s="26" t="s">
        <v>1351</v>
      </c>
      <c r="B136" s="27" t="s">
        <v>302</v>
      </c>
      <c r="C136" s="27" t="s">
        <v>303</v>
      </c>
      <c r="D136" s="27" t="n">
        <v>0.912</v>
      </c>
      <c r="E136" s="27" t="n">
        <v>31</v>
      </c>
      <c r="F136" s="240" t="s">
        <v>2037</v>
      </c>
    </row>
    <row r="137" customFormat="false" ht="18" hidden="false" customHeight="true" outlineLevel="0" collapsed="false">
      <c r="A137" s="26" t="s">
        <v>1352</v>
      </c>
      <c r="B137" s="27" t="s">
        <v>1353</v>
      </c>
      <c r="C137" s="27" t="s">
        <v>1354</v>
      </c>
      <c r="D137" s="27" t="n">
        <v>0.554</v>
      </c>
      <c r="E137" s="27" t="n">
        <v>51</v>
      </c>
      <c r="F137" s="27" t="s">
        <v>2038</v>
      </c>
    </row>
    <row r="138" customFormat="false" ht="18" hidden="false" customHeight="true" outlineLevel="0" collapsed="false">
      <c r="A138" s="26" t="s">
        <v>1363</v>
      </c>
      <c r="B138" s="27" t="s">
        <v>1364</v>
      </c>
      <c r="C138" s="27" t="s">
        <v>324</v>
      </c>
      <c r="D138" s="27" t="n">
        <v>0.565</v>
      </c>
      <c r="E138" s="27" t="n">
        <v>40</v>
      </c>
      <c r="F138" s="27" t="s">
        <v>2038</v>
      </c>
    </row>
    <row r="139" customFormat="false" ht="18" hidden="false" customHeight="true" outlineLevel="0" collapsed="false">
      <c r="A139" s="26" t="s">
        <v>1357</v>
      </c>
      <c r="B139" s="27" t="s">
        <v>1358</v>
      </c>
      <c r="C139" s="27" t="s">
        <v>1359</v>
      </c>
      <c r="D139" s="27" t="n">
        <v>0.55</v>
      </c>
      <c r="E139" s="27" t="n">
        <v>111</v>
      </c>
      <c r="F139" s="240" t="s">
        <v>2039</v>
      </c>
    </row>
    <row r="140" customFormat="false" ht="23.25" hidden="false" customHeight="true" outlineLevel="0" collapsed="false">
      <c r="A140" s="26" t="s">
        <v>2040</v>
      </c>
      <c r="B140" s="27" t="s">
        <v>381</v>
      </c>
      <c r="C140" s="27" t="s">
        <v>2041</v>
      </c>
      <c r="D140" s="27" t="s">
        <v>381</v>
      </c>
      <c r="E140" s="27" t="n">
        <v>190</v>
      </c>
      <c r="F140" s="28" t="s">
        <v>2042</v>
      </c>
    </row>
    <row r="141" customFormat="false" ht="18" hidden="false" customHeight="true" outlineLevel="0" collapsed="false">
      <c r="A141" s="26" t="s">
        <v>2043</v>
      </c>
      <c r="B141" s="27" t="s">
        <v>381</v>
      </c>
      <c r="C141" s="27" t="s">
        <v>969</v>
      </c>
      <c r="D141" s="27" t="s">
        <v>381</v>
      </c>
      <c r="E141" s="27" t="s">
        <v>381</v>
      </c>
      <c r="F141" s="27" t="s">
        <v>2044</v>
      </c>
    </row>
    <row r="142" customFormat="false" ht="18" hidden="false" customHeight="true" outlineLevel="0" collapsed="false">
      <c r="A142" s="26" t="s">
        <v>2045</v>
      </c>
      <c r="B142" s="27" t="s">
        <v>381</v>
      </c>
      <c r="C142" s="27" t="s">
        <v>2046</v>
      </c>
      <c r="D142" s="27" t="s">
        <v>381</v>
      </c>
      <c r="E142" s="27" t="s">
        <v>381</v>
      </c>
      <c r="F142" s="27" t="s">
        <v>2047</v>
      </c>
    </row>
    <row r="143" customFormat="false" ht="6" hidden="false" customHeight="true" outlineLevel="0" collapsed="false">
      <c r="A143" s="4"/>
      <c r="B143" s="5"/>
      <c r="C143" s="5"/>
      <c r="D143" s="5"/>
      <c r="E143" s="5"/>
      <c r="F143" s="5"/>
    </row>
    <row r="144" customFormat="false" ht="24" hidden="false" customHeight="true" outlineLevel="0" collapsed="false">
      <c r="A144" s="238" t="s">
        <v>2048</v>
      </c>
      <c r="B144" s="238"/>
      <c r="C144" s="238"/>
      <c r="D144" s="238"/>
      <c r="E144" s="238"/>
      <c r="F144" s="238"/>
    </row>
    <row r="145" customFormat="false" ht="24" hidden="false" customHeight="true" outlineLevel="0" collapsed="false">
      <c r="A145" s="24" t="s">
        <v>2049</v>
      </c>
      <c r="B145" s="25" t="s">
        <v>105</v>
      </c>
      <c r="C145" s="25" t="s">
        <v>794</v>
      </c>
      <c r="D145" s="25" t="s">
        <v>950</v>
      </c>
      <c r="E145" s="25" t="s">
        <v>92</v>
      </c>
      <c r="F145" s="25" t="s">
        <v>512</v>
      </c>
    </row>
    <row r="146" customFormat="false" ht="18" hidden="false" customHeight="true" outlineLevel="0" collapsed="false">
      <c r="A146" s="26" t="s">
        <v>2050</v>
      </c>
      <c r="B146" s="27" t="s">
        <v>1117</v>
      </c>
      <c r="C146" s="27" t="s">
        <v>2051</v>
      </c>
      <c r="D146" s="27" t="s">
        <v>2052</v>
      </c>
      <c r="E146" s="27" t="s">
        <v>381</v>
      </c>
      <c r="F146" s="28" t="s">
        <v>2053</v>
      </c>
    </row>
    <row r="147" customFormat="false" ht="18" hidden="false" customHeight="true" outlineLevel="0" collapsed="false">
      <c r="A147" s="26" t="s">
        <v>2054</v>
      </c>
      <c r="B147" s="27" t="s">
        <v>1117</v>
      </c>
      <c r="C147" s="27" t="s">
        <v>2055</v>
      </c>
      <c r="D147" s="27" t="s">
        <v>2056</v>
      </c>
      <c r="E147" s="27" t="s">
        <v>381</v>
      </c>
      <c r="F147" s="239" t="s">
        <v>2057</v>
      </c>
    </row>
    <row r="148" customFormat="false" ht="6" hidden="false" customHeight="true" outlineLevel="0" collapsed="false">
      <c r="A148" s="4"/>
      <c r="B148" s="5"/>
      <c r="C148" s="5"/>
      <c r="D148" s="5"/>
      <c r="E148" s="5"/>
      <c r="F148" s="5"/>
    </row>
    <row r="149" customFormat="false" ht="24" hidden="false" customHeight="true" outlineLevel="0" collapsed="false">
      <c r="A149" s="238" t="s">
        <v>2058</v>
      </c>
      <c r="B149" s="238"/>
      <c r="C149" s="238"/>
      <c r="D149" s="238"/>
      <c r="E149" s="238"/>
      <c r="F149" s="238"/>
    </row>
    <row r="150" customFormat="false" ht="21.75" hidden="false" customHeight="true" outlineLevel="0" collapsed="false">
      <c r="A150" s="241" t="s">
        <v>2059</v>
      </c>
      <c r="B150" s="241"/>
      <c r="C150" s="241"/>
      <c r="D150" s="241"/>
      <c r="E150" s="241"/>
      <c r="F150" s="241"/>
    </row>
    <row r="151" customFormat="false" ht="24" hidden="false" customHeight="true" outlineLevel="0" collapsed="false">
      <c r="A151" s="24" t="s">
        <v>2060</v>
      </c>
      <c r="B151" s="25" t="s">
        <v>105</v>
      </c>
      <c r="C151" s="25" t="s">
        <v>794</v>
      </c>
      <c r="D151" s="25" t="s">
        <v>950</v>
      </c>
      <c r="E151" s="25" t="s">
        <v>92</v>
      </c>
      <c r="F151" s="25" t="s">
        <v>512</v>
      </c>
    </row>
    <row r="152" customFormat="false" ht="18" hidden="false" customHeight="true" outlineLevel="0" collapsed="false">
      <c r="A152" s="26" t="s">
        <v>2061</v>
      </c>
      <c r="B152" s="27" t="s">
        <v>108</v>
      </c>
      <c r="C152" s="27" t="s">
        <v>2062</v>
      </c>
      <c r="D152" s="27" t="s">
        <v>2063</v>
      </c>
      <c r="E152" s="27" t="s">
        <v>381</v>
      </c>
      <c r="F152" s="27" t="s">
        <v>2064</v>
      </c>
    </row>
    <row r="153" customFormat="false" ht="18" hidden="false" customHeight="true" outlineLevel="0" collapsed="false">
      <c r="A153" s="26" t="s">
        <v>968</v>
      </c>
      <c r="B153" s="27" t="s">
        <v>108</v>
      </c>
      <c r="C153" s="27" t="s">
        <v>970</v>
      </c>
      <c r="D153" s="27" t="s">
        <v>969</v>
      </c>
      <c r="E153" s="27" t="n">
        <v>87</v>
      </c>
      <c r="F153" s="27" t="s">
        <v>2065</v>
      </c>
    </row>
    <row r="154" customFormat="false" ht="23.25" hidden="false" customHeight="true" outlineLevel="0" collapsed="false">
      <c r="A154" s="26" t="s">
        <v>2066</v>
      </c>
      <c r="B154" s="27" t="s">
        <v>1117</v>
      </c>
      <c r="C154" s="27" t="s">
        <v>975</v>
      </c>
      <c r="D154" s="27" t="s">
        <v>381</v>
      </c>
      <c r="E154" s="27" t="s">
        <v>381</v>
      </c>
      <c r="F154" s="27" t="s">
        <v>2067</v>
      </c>
    </row>
    <row r="155" customFormat="false" ht="18" hidden="false" customHeight="true" outlineLevel="0" collapsed="false">
      <c r="A155" s="26" t="s">
        <v>2068</v>
      </c>
      <c r="B155" s="27" t="s">
        <v>1117</v>
      </c>
      <c r="C155" s="27" t="s">
        <v>1840</v>
      </c>
      <c r="D155" s="27" t="s">
        <v>381</v>
      </c>
      <c r="E155" s="27" t="s">
        <v>381</v>
      </c>
      <c r="F155" s="27" t="s">
        <v>2069</v>
      </c>
    </row>
    <row r="156" customFormat="false" ht="18" hidden="false" customHeight="true" outlineLevel="0" collapsed="false">
      <c r="A156" s="26" t="s">
        <v>2070</v>
      </c>
      <c r="B156" s="27" t="s">
        <v>1117</v>
      </c>
      <c r="C156" s="27" t="s">
        <v>381</v>
      </c>
      <c r="D156" s="27" t="s">
        <v>974</v>
      </c>
      <c r="E156" s="27" t="s">
        <v>381</v>
      </c>
      <c r="F156" s="27" t="s">
        <v>2071</v>
      </c>
    </row>
    <row r="157" customFormat="false" ht="18" hidden="false" customHeight="true" outlineLevel="0" collapsed="false">
      <c r="A157" s="26" t="s">
        <v>2072</v>
      </c>
      <c r="B157" s="27" t="s">
        <v>1117</v>
      </c>
      <c r="C157" s="27" t="s">
        <v>381</v>
      </c>
      <c r="D157" s="27" t="s">
        <v>1856</v>
      </c>
      <c r="E157" s="27" t="s">
        <v>381</v>
      </c>
      <c r="F157" s="27" t="s">
        <v>2073</v>
      </c>
    </row>
    <row r="158" customFormat="false" ht="18" hidden="false" customHeight="true" outlineLevel="0" collapsed="false">
      <c r="A158" s="26" t="s">
        <v>2074</v>
      </c>
      <c r="B158" s="27" t="s">
        <v>1117</v>
      </c>
      <c r="C158" s="27" t="s">
        <v>2075</v>
      </c>
      <c r="D158" s="27" t="s">
        <v>858</v>
      </c>
      <c r="E158" s="27" t="s">
        <v>381</v>
      </c>
      <c r="F158" s="27" t="s">
        <v>2076</v>
      </c>
    </row>
    <row r="159" customFormat="false" ht="6" hidden="false" customHeight="true" outlineLevel="0" collapsed="false">
      <c r="A159" s="4"/>
      <c r="B159" s="5"/>
      <c r="C159" s="5"/>
      <c r="D159" s="5"/>
      <c r="E159" s="5"/>
      <c r="F159" s="5"/>
    </row>
    <row r="160" customFormat="false" ht="24" hidden="false" customHeight="true" outlineLevel="0" collapsed="false">
      <c r="A160" s="238" t="s">
        <v>2077</v>
      </c>
      <c r="B160" s="238"/>
      <c r="C160" s="238"/>
      <c r="D160" s="238"/>
      <c r="E160" s="238"/>
      <c r="F160" s="238"/>
    </row>
    <row r="161" customFormat="false" ht="21.75" hidden="false" customHeight="true" outlineLevel="0" collapsed="false">
      <c r="A161" s="241" t="s">
        <v>2078</v>
      </c>
      <c r="B161" s="241"/>
      <c r="C161" s="241"/>
      <c r="D161" s="241"/>
      <c r="E161" s="241"/>
      <c r="F161" s="241"/>
    </row>
    <row r="162" customFormat="false" ht="24" hidden="false" customHeight="true" outlineLevel="0" collapsed="false">
      <c r="A162" s="24" t="s">
        <v>2079</v>
      </c>
      <c r="B162" s="25" t="s">
        <v>2080</v>
      </c>
      <c r="C162" s="25" t="s">
        <v>794</v>
      </c>
      <c r="D162" s="25" t="s">
        <v>950</v>
      </c>
      <c r="E162" s="25" t="s">
        <v>92</v>
      </c>
      <c r="F162" s="25" t="s">
        <v>2081</v>
      </c>
    </row>
    <row r="163" customFormat="false" ht="23.25" hidden="false" customHeight="true" outlineLevel="0" collapsed="false">
      <c r="A163" s="26" t="s">
        <v>2082</v>
      </c>
      <c r="B163" s="27" t="s">
        <v>1793</v>
      </c>
      <c r="C163" s="27" t="s">
        <v>1794</v>
      </c>
      <c r="D163" s="27" t="s">
        <v>1795</v>
      </c>
      <c r="E163" s="27" t="n">
        <v>368</v>
      </c>
      <c r="F163" s="242" t="s">
        <v>2083</v>
      </c>
    </row>
    <row r="164" customFormat="false" ht="18" hidden="false" customHeight="true" outlineLevel="0" collapsed="false">
      <c r="A164" s="26" t="s">
        <v>2084</v>
      </c>
      <c r="B164" s="27" t="s">
        <v>1793</v>
      </c>
      <c r="C164" s="27" t="s">
        <v>2085</v>
      </c>
      <c r="D164" s="27" t="s">
        <v>2086</v>
      </c>
      <c r="E164" s="27" t="s">
        <v>2087</v>
      </c>
      <c r="F164" s="242" t="s">
        <v>2088</v>
      </c>
    </row>
    <row r="165" customFormat="false" ht="18" hidden="false" customHeight="true" outlineLevel="0" collapsed="false">
      <c r="A165" s="26" t="s">
        <v>2089</v>
      </c>
      <c r="B165" s="27" t="s">
        <v>1793</v>
      </c>
      <c r="C165" s="27" t="s">
        <v>2090</v>
      </c>
      <c r="D165" s="27" t="s">
        <v>1978</v>
      </c>
      <c r="E165" s="27" t="s">
        <v>2091</v>
      </c>
      <c r="F165" s="242" t="s">
        <v>2092</v>
      </c>
    </row>
    <row r="166" customFormat="false" ht="18" hidden="false" customHeight="true" outlineLevel="0" collapsed="false">
      <c r="A166" s="26" t="s">
        <v>2093</v>
      </c>
      <c r="B166" s="27" t="s">
        <v>108</v>
      </c>
      <c r="C166" s="27" t="s">
        <v>2094</v>
      </c>
      <c r="D166" s="27" t="s">
        <v>2095</v>
      </c>
      <c r="E166" s="27" t="s">
        <v>2096</v>
      </c>
      <c r="F166" s="242" t="s">
        <v>2097</v>
      </c>
    </row>
    <row r="167" customFormat="false" ht="18" hidden="false" customHeight="true" outlineLevel="0" collapsed="false">
      <c r="A167" s="26" t="s">
        <v>2098</v>
      </c>
      <c r="B167" s="27" t="s">
        <v>111</v>
      </c>
      <c r="C167" s="27" t="s">
        <v>2099</v>
      </c>
      <c r="D167" s="27" t="s">
        <v>2100</v>
      </c>
      <c r="E167" s="27" t="s">
        <v>2101</v>
      </c>
      <c r="F167" s="242" t="s">
        <v>2097</v>
      </c>
    </row>
    <row r="168" customFormat="false" ht="18" hidden="false" customHeight="true" outlineLevel="0" collapsed="false">
      <c r="A168" s="26" t="s">
        <v>2102</v>
      </c>
      <c r="B168" s="27" t="s">
        <v>108</v>
      </c>
      <c r="C168" s="27" t="s">
        <v>245</v>
      </c>
      <c r="D168" s="27" t="s">
        <v>246</v>
      </c>
      <c r="E168" s="27" t="n">
        <v>117</v>
      </c>
      <c r="F168" s="28" t="s">
        <v>2103</v>
      </c>
    </row>
    <row r="169" customFormat="false" ht="21.75" hidden="false" customHeight="true" outlineLevel="0" collapsed="false">
      <c r="A169" s="241" t="s">
        <v>2104</v>
      </c>
      <c r="B169" s="241"/>
      <c r="C169" s="241"/>
      <c r="D169" s="241"/>
      <c r="E169" s="241"/>
      <c r="F169" s="241"/>
    </row>
    <row r="170" customFormat="false" ht="21.75" hidden="false" customHeight="true" outlineLevel="0" collapsed="false">
      <c r="A170" s="241" t="s">
        <v>2105</v>
      </c>
      <c r="B170" s="241"/>
      <c r="C170" s="241"/>
      <c r="D170" s="241"/>
      <c r="E170" s="241"/>
      <c r="F170" s="241"/>
    </row>
    <row r="171" customFormat="false" ht="6" hidden="false" customHeight="true" outlineLevel="0" collapsed="false">
      <c r="A171" s="4"/>
      <c r="B171" s="5"/>
      <c r="C171" s="5"/>
      <c r="D171" s="5"/>
      <c r="E171" s="5"/>
      <c r="F171" s="5"/>
    </row>
    <row r="172" customFormat="false" ht="24" hidden="false" customHeight="true" outlineLevel="0" collapsed="false">
      <c r="A172" s="238" t="s">
        <v>2106</v>
      </c>
      <c r="B172" s="238"/>
      <c r="C172" s="238"/>
      <c r="D172" s="238"/>
      <c r="E172" s="238"/>
      <c r="F172" s="238"/>
    </row>
    <row r="173" customFormat="false" ht="21.75" hidden="false" customHeight="true" outlineLevel="0" collapsed="false">
      <c r="A173" s="241" t="s">
        <v>2107</v>
      </c>
      <c r="B173" s="241"/>
      <c r="C173" s="241"/>
      <c r="D173" s="241"/>
      <c r="E173" s="241"/>
      <c r="F173" s="241"/>
    </row>
    <row r="174" customFormat="false" ht="24" hidden="false" customHeight="true" outlineLevel="0" collapsed="false">
      <c r="A174" s="24" t="s">
        <v>2108</v>
      </c>
      <c r="B174" s="25" t="s">
        <v>2109</v>
      </c>
      <c r="C174" s="25" t="s">
        <v>2110</v>
      </c>
      <c r="D174" s="25" t="s">
        <v>2111</v>
      </c>
      <c r="E174" s="25" t="s">
        <v>2112</v>
      </c>
      <c r="F174" s="25" t="s">
        <v>388</v>
      </c>
    </row>
    <row r="175" customFormat="false" ht="57" hidden="false" customHeight="true" outlineLevel="0" collapsed="false">
      <c r="A175" s="26" t="s">
        <v>2113</v>
      </c>
      <c r="B175" s="27" t="s">
        <v>2114</v>
      </c>
      <c r="C175" s="27" t="s">
        <v>2115</v>
      </c>
      <c r="D175" s="27" t="s">
        <v>2116</v>
      </c>
      <c r="E175" s="27" t="s">
        <v>2117</v>
      </c>
      <c r="F175" s="27" t="s">
        <v>2118</v>
      </c>
    </row>
    <row r="176" customFormat="false" ht="68.25" hidden="false" customHeight="true" outlineLevel="0" collapsed="false">
      <c r="A176" s="26" t="s">
        <v>2119</v>
      </c>
      <c r="B176" s="27" t="s">
        <v>2120</v>
      </c>
      <c r="C176" s="27" t="s">
        <v>2115</v>
      </c>
      <c r="D176" s="27" t="s">
        <v>2121</v>
      </c>
      <c r="E176" s="27" t="s">
        <v>2122</v>
      </c>
      <c r="F176" s="27" t="s">
        <v>2123</v>
      </c>
    </row>
    <row r="177" customFormat="false" ht="68.25" hidden="false" customHeight="true" outlineLevel="0" collapsed="false">
      <c r="A177" s="26" t="s">
        <v>2124</v>
      </c>
      <c r="B177" s="27" t="s">
        <v>2114</v>
      </c>
      <c r="C177" s="27" t="s">
        <v>2115</v>
      </c>
      <c r="D177" s="27" t="s">
        <v>2125</v>
      </c>
      <c r="E177" s="27" t="s">
        <v>2126</v>
      </c>
      <c r="F177" s="27" t="s">
        <v>2127</v>
      </c>
    </row>
    <row r="178" customFormat="false" ht="68.25" hidden="false" customHeight="true" outlineLevel="0" collapsed="false">
      <c r="A178" s="26" t="s">
        <v>2128</v>
      </c>
      <c r="B178" s="27" t="s">
        <v>2129</v>
      </c>
      <c r="C178" s="27" t="s">
        <v>2130</v>
      </c>
      <c r="D178" s="27" t="s">
        <v>2131</v>
      </c>
      <c r="E178" s="27" t="s">
        <v>2132</v>
      </c>
      <c r="F178" s="240" t="s">
        <v>2133</v>
      </c>
    </row>
    <row r="179" customFormat="false" ht="68.25" hidden="false" customHeight="true" outlineLevel="0" collapsed="false">
      <c r="A179" s="26" t="s">
        <v>2134</v>
      </c>
      <c r="B179" s="27" t="s">
        <v>2129</v>
      </c>
      <c r="C179" s="27" t="s">
        <v>2135</v>
      </c>
      <c r="D179" s="27" t="s">
        <v>2136</v>
      </c>
      <c r="E179" s="27" t="s">
        <v>2137</v>
      </c>
      <c r="F179" s="27" t="s">
        <v>2138</v>
      </c>
    </row>
    <row r="180" customFormat="false" ht="79.5" hidden="false" customHeight="true" outlineLevel="0" collapsed="false">
      <c r="A180" s="26" t="s">
        <v>2139</v>
      </c>
      <c r="B180" s="27" t="s">
        <v>2140</v>
      </c>
      <c r="C180" s="27" t="s">
        <v>2135</v>
      </c>
      <c r="D180" s="27" t="s">
        <v>2141</v>
      </c>
      <c r="E180" s="27" t="s">
        <v>2126</v>
      </c>
      <c r="F180" s="27" t="s">
        <v>2142</v>
      </c>
    </row>
    <row r="181" customFormat="false" ht="68.25" hidden="false" customHeight="true" outlineLevel="0" collapsed="false">
      <c r="A181" s="26" t="s">
        <v>2143</v>
      </c>
      <c r="B181" s="27" t="s">
        <v>2144</v>
      </c>
      <c r="C181" s="27" t="s">
        <v>2145</v>
      </c>
      <c r="D181" s="27" t="s">
        <v>2146</v>
      </c>
      <c r="E181" s="27" t="s">
        <v>2147</v>
      </c>
      <c r="F181" s="242" t="s">
        <v>2148</v>
      </c>
    </row>
    <row r="182" customFormat="false" ht="57" hidden="false" customHeight="true" outlineLevel="0" collapsed="false">
      <c r="A182" s="26" t="s">
        <v>2149</v>
      </c>
      <c r="B182" s="27" t="s">
        <v>2150</v>
      </c>
      <c r="C182" s="27" t="s">
        <v>2151</v>
      </c>
      <c r="D182" s="27" t="s">
        <v>2152</v>
      </c>
      <c r="E182" s="27" t="s">
        <v>2153</v>
      </c>
      <c r="F182" s="27" t="s">
        <v>2154</v>
      </c>
    </row>
    <row r="183" customFormat="false" ht="57" hidden="false" customHeight="true" outlineLevel="0" collapsed="false">
      <c r="A183" s="26" t="s">
        <v>2155</v>
      </c>
      <c r="B183" s="27" t="s">
        <v>2120</v>
      </c>
      <c r="C183" s="27" t="s">
        <v>2156</v>
      </c>
      <c r="D183" s="27" t="s">
        <v>2157</v>
      </c>
      <c r="E183" s="27" t="s">
        <v>2132</v>
      </c>
      <c r="F183" s="27" t="s">
        <v>2158</v>
      </c>
    </row>
    <row r="184" customFormat="false" ht="68.25" hidden="false" customHeight="true" outlineLevel="0" collapsed="false">
      <c r="A184" s="26" t="s">
        <v>2159</v>
      </c>
      <c r="B184" s="27" t="s">
        <v>2160</v>
      </c>
      <c r="C184" s="27" t="s">
        <v>2161</v>
      </c>
      <c r="D184" s="27" t="s">
        <v>2162</v>
      </c>
      <c r="E184" s="27" t="s">
        <v>2122</v>
      </c>
      <c r="F184" s="242" t="s">
        <v>2163</v>
      </c>
    </row>
    <row r="185" customFormat="false" ht="68.25" hidden="false" customHeight="true" outlineLevel="0" collapsed="false">
      <c r="A185" s="26" t="s">
        <v>2164</v>
      </c>
      <c r="B185" s="27" t="s">
        <v>2165</v>
      </c>
      <c r="C185" s="27" t="s">
        <v>2161</v>
      </c>
      <c r="D185" s="27" t="s">
        <v>2166</v>
      </c>
      <c r="E185" s="27" t="s">
        <v>2153</v>
      </c>
      <c r="F185" s="242" t="s">
        <v>2163</v>
      </c>
    </row>
    <row r="186" customFormat="false" ht="6" hidden="false" customHeight="true" outlineLevel="0" collapsed="false">
      <c r="A186" s="4"/>
      <c r="B186" s="5"/>
      <c r="C186" s="5"/>
      <c r="D186" s="5"/>
      <c r="E186" s="5"/>
      <c r="F186" s="5"/>
    </row>
    <row r="187" customFormat="false" ht="24" hidden="false" customHeight="true" outlineLevel="0" collapsed="false">
      <c r="A187" s="6" t="s">
        <v>2167</v>
      </c>
      <c r="B187" s="6"/>
      <c r="C187" s="6"/>
      <c r="D187" s="6"/>
      <c r="E187" s="6"/>
      <c r="F187" s="6"/>
    </row>
    <row r="188" customFormat="false" ht="21.75" hidden="false" customHeight="true" outlineLevel="0" collapsed="false">
      <c r="A188" s="241" t="s">
        <v>2168</v>
      </c>
      <c r="B188" s="241"/>
      <c r="C188" s="241"/>
      <c r="D188" s="241"/>
      <c r="E188" s="241"/>
      <c r="F188" s="241"/>
    </row>
    <row r="189" customFormat="false" ht="24" hidden="false" customHeight="true" outlineLevel="0" collapsed="false">
      <c r="A189" s="24" t="s">
        <v>2169</v>
      </c>
      <c r="B189" s="25" t="s">
        <v>2170</v>
      </c>
      <c r="C189" s="25" t="s">
        <v>794</v>
      </c>
      <c r="D189" s="25" t="s">
        <v>950</v>
      </c>
      <c r="E189" s="25" t="s">
        <v>92</v>
      </c>
      <c r="F189" s="25" t="s">
        <v>2171</v>
      </c>
    </row>
    <row r="190" customFormat="false" ht="21.75" hidden="false" customHeight="true" outlineLevel="0" collapsed="false">
      <c r="A190" s="26" t="s">
        <v>1905</v>
      </c>
      <c r="B190" s="27" t="s">
        <v>2172</v>
      </c>
      <c r="C190" s="27" t="s">
        <v>1906</v>
      </c>
      <c r="D190" s="27" t="s">
        <v>1907</v>
      </c>
      <c r="E190" s="27" t="n">
        <v>22</v>
      </c>
      <c r="F190" s="27" t="s">
        <v>2173</v>
      </c>
    </row>
    <row r="191" customFormat="false" ht="21.75" hidden="false" customHeight="true" outlineLevel="0" collapsed="false">
      <c r="A191" s="26" t="s">
        <v>1909</v>
      </c>
      <c r="B191" s="27" t="s">
        <v>2174</v>
      </c>
      <c r="C191" s="27" t="s">
        <v>1910</v>
      </c>
      <c r="D191" s="27" t="s">
        <v>1911</v>
      </c>
      <c r="E191" s="27" t="n">
        <v>36</v>
      </c>
      <c r="F191" s="27" t="s">
        <v>2175</v>
      </c>
    </row>
    <row r="192" customFormat="false" ht="21.75" hidden="false" customHeight="true" outlineLevel="0" collapsed="false">
      <c r="A192" s="26" t="s">
        <v>2176</v>
      </c>
      <c r="B192" s="27" t="s">
        <v>2177</v>
      </c>
      <c r="C192" s="27" t="s">
        <v>1914</v>
      </c>
      <c r="D192" s="27" t="s">
        <v>324</v>
      </c>
      <c r="E192" s="27" t="n">
        <v>106</v>
      </c>
      <c r="F192" s="27" t="s">
        <v>2178</v>
      </c>
    </row>
    <row r="193" customFormat="false" ht="21.75" hidden="false" customHeight="true" outlineLevel="0" collapsed="false">
      <c r="A193" s="26" t="s">
        <v>2179</v>
      </c>
      <c r="B193" s="27" t="s">
        <v>2180</v>
      </c>
      <c r="C193" s="27" t="s">
        <v>1917</v>
      </c>
      <c r="D193" s="27" t="s">
        <v>309</v>
      </c>
      <c r="E193" s="27" t="n">
        <v>35</v>
      </c>
      <c r="F193" s="27" t="s">
        <v>2181</v>
      </c>
    </row>
    <row r="194" customFormat="false" ht="21.75" hidden="false" customHeight="true" outlineLevel="0" collapsed="false">
      <c r="A194" s="26" t="s">
        <v>1919</v>
      </c>
      <c r="B194" s="27" t="s">
        <v>2182</v>
      </c>
      <c r="C194" s="27" t="s">
        <v>1920</v>
      </c>
      <c r="D194" s="27" t="s">
        <v>1882</v>
      </c>
      <c r="E194" s="27" t="n">
        <v>519</v>
      </c>
      <c r="F194" s="27" t="s">
        <v>2183</v>
      </c>
    </row>
    <row r="195" customFormat="false" ht="21.75" hidden="false" customHeight="true" outlineLevel="0" collapsed="false">
      <c r="A195" s="26" t="s">
        <v>2184</v>
      </c>
      <c r="B195" s="27" t="s">
        <v>2185</v>
      </c>
      <c r="C195" s="27" t="s">
        <v>384</v>
      </c>
      <c r="D195" s="27" t="s">
        <v>385</v>
      </c>
      <c r="E195" s="27" t="n">
        <v>8</v>
      </c>
      <c r="F195" s="240" t="s">
        <v>2186</v>
      </c>
    </row>
    <row r="196" customFormat="false" ht="18" hidden="false" customHeight="true" outlineLevel="0" collapsed="false">
      <c r="A196" s="26" t="s">
        <v>1924</v>
      </c>
      <c r="B196" s="27" t="s">
        <v>2187</v>
      </c>
      <c r="C196" s="27" t="s">
        <v>381</v>
      </c>
      <c r="D196" s="27" t="s">
        <v>1925</v>
      </c>
      <c r="E196" s="27" t="s">
        <v>381</v>
      </c>
      <c r="F196" s="27" t="s">
        <v>2188</v>
      </c>
    </row>
    <row r="197" customFormat="false" ht="18" hidden="false" customHeight="true" outlineLevel="0" collapsed="false">
      <c r="A197" s="26" t="s">
        <v>1927</v>
      </c>
      <c r="B197" s="27" t="s">
        <v>2189</v>
      </c>
      <c r="C197" s="27" t="s">
        <v>381</v>
      </c>
      <c r="D197" s="27" t="s">
        <v>1928</v>
      </c>
      <c r="E197" s="27" t="s">
        <v>381</v>
      </c>
      <c r="F197" s="27" t="s">
        <v>2190</v>
      </c>
    </row>
    <row r="198" customFormat="false" ht="21.75" hidden="false" customHeight="true" outlineLevel="0" collapsed="false">
      <c r="A198" s="26" t="s">
        <v>2191</v>
      </c>
      <c r="B198" s="27" t="s">
        <v>2192</v>
      </c>
      <c r="C198" s="27" t="s">
        <v>381</v>
      </c>
      <c r="D198" s="27" t="s">
        <v>2193</v>
      </c>
      <c r="E198" s="27" t="s">
        <v>381</v>
      </c>
      <c r="F198" s="242" t="s">
        <v>2194</v>
      </c>
    </row>
    <row r="199" customFormat="false" ht="21.75" hidden="false" customHeight="true" outlineLevel="0" collapsed="false">
      <c r="A199" s="26" t="s">
        <v>2195</v>
      </c>
      <c r="B199" s="27" t="s">
        <v>2196</v>
      </c>
      <c r="C199" s="27" t="s">
        <v>381</v>
      </c>
      <c r="D199" s="27" t="s">
        <v>2193</v>
      </c>
      <c r="E199" s="27" t="s">
        <v>381</v>
      </c>
      <c r="F199" s="242" t="s">
        <v>2197</v>
      </c>
    </row>
    <row r="200" customFormat="false" ht="21.75" hidden="false" customHeight="true" outlineLevel="0" collapsed="false">
      <c r="A200" s="26" t="s">
        <v>2198</v>
      </c>
      <c r="B200" s="27" t="s">
        <v>2199</v>
      </c>
      <c r="C200" s="27" t="s">
        <v>381</v>
      </c>
      <c r="D200" s="27" t="s">
        <v>2200</v>
      </c>
      <c r="E200" s="27" t="s">
        <v>381</v>
      </c>
      <c r="F200" s="242" t="s">
        <v>2201</v>
      </c>
    </row>
    <row r="201" customFormat="false" ht="21.75" hidden="false" customHeight="true" outlineLevel="0" collapsed="false">
      <c r="A201" s="26" t="s">
        <v>2202</v>
      </c>
      <c r="B201" s="27" t="s">
        <v>2203</v>
      </c>
      <c r="C201" s="27" t="s">
        <v>381</v>
      </c>
      <c r="D201" s="27" t="s">
        <v>2200</v>
      </c>
      <c r="E201" s="27" t="s">
        <v>381</v>
      </c>
      <c r="F201" s="242" t="s">
        <v>2201</v>
      </c>
    </row>
    <row r="202" customFormat="false" ht="21.75" hidden="false" customHeight="true" outlineLevel="0" collapsed="false">
      <c r="A202" s="26" t="s">
        <v>2204</v>
      </c>
      <c r="B202" s="27" t="s">
        <v>2205</v>
      </c>
      <c r="C202" s="27" t="s">
        <v>381</v>
      </c>
      <c r="D202" s="27" t="s">
        <v>2206</v>
      </c>
      <c r="E202" s="27" t="s">
        <v>381</v>
      </c>
      <c r="F202" s="242" t="s">
        <v>2207</v>
      </c>
    </row>
    <row r="203" customFormat="false" ht="21.75" hidden="false" customHeight="true" outlineLevel="0" collapsed="false">
      <c r="A203" s="26" t="s">
        <v>2208</v>
      </c>
      <c r="B203" s="27" t="s">
        <v>2209</v>
      </c>
      <c r="C203" s="27" t="s">
        <v>381</v>
      </c>
      <c r="D203" s="27" t="s">
        <v>2200</v>
      </c>
      <c r="E203" s="27" t="s">
        <v>381</v>
      </c>
      <c r="F203" s="242" t="s">
        <v>2210</v>
      </c>
    </row>
    <row r="204" customFormat="false" ht="21.75" hidden="false" customHeight="true" outlineLevel="0" collapsed="false">
      <c r="A204" s="241" t="s">
        <v>2211</v>
      </c>
      <c r="B204" s="241"/>
      <c r="C204" s="241"/>
      <c r="D204" s="241"/>
      <c r="E204" s="241"/>
      <c r="F204" s="241"/>
    </row>
    <row r="205" customFormat="false" ht="6" hidden="false" customHeight="true" outlineLevel="0" collapsed="false">
      <c r="A205" s="4"/>
      <c r="B205" s="5"/>
      <c r="C205" s="5"/>
      <c r="D205" s="5"/>
      <c r="E205" s="5"/>
      <c r="F205" s="5"/>
    </row>
    <row r="206" customFormat="false" ht="24" hidden="false" customHeight="true" outlineLevel="0" collapsed="false">
      <c r="A206" s="6" t="s">
        <v>2212</v>
      </c>
      <c r="B206" s="6"/>
      <c r="C206" s="6"/>
      <c r="D206" s="6"/>
      <c r="E206" s="6"/>
      <c r="F206" s="6"/>
    </row>
    <row r="207" customFormat="false" ht="24" hidden="false" customHeight="true" outlineLevel="0" collapsed="false">
      <c r="A207" s="24" t="s">
        <v>2213</v>
      </c>
      <c r="B207" s="25" t="s">
        <v>2214</v>
      </c>
      <c r="C207" s="25" t="s">
        <v>794</v>
      </c>
      <c r="D207" s="25" t="s">
        <v>950</v>
      </c>
      <c r="E207" s="25" t="s">
        <v>92</v>
      </c>
      <c r="F207" s="25" t="s">
        <v>512</v>
      </c>
    </row>
    <row r="208" customFormat="false" ht="18" hidden="false" customHeight="true" outlineLevel="0" collapsed="false">
      <c r="A208" s="26" t="s">
        <v>2215</v>
      </c>
      <c r="B208" s="27" t="s">
        <v>2216</v>
      </c>
      <c r="C208" s="27" t="s">
        <v>2217</v>
      </c>
      <c r="D208" s="27" t="s">
        <v>2218</v>
      </c>
      <c r="E208" s="27" t="n">
        <v>63</v>
      </c>
      <c r="F208" s="27" t="s">
        <v>2219</v>
      </c>
    </row>
    <row r="209" customFormat="false" ht="18" hidden="false" customHeight="true" outlineLevel="0" collapsed="false">
      <c r="A209" s="26" t="s">
        <v>2220</v>
      </c>
      <c r="B209" s="27" t="s">
        <v>2216</v>
      </c>
      <c r="C209" s="27" t="s">
        <v>2221</v>
      </c>
      <c r="D209" s="27" t="s">
        <v>2222</v>
      </c>
      <c r="E209" s="27" t="n">
        <v>44</v>
      </c>
      <c r="F209" s="27" t="s">
        <v>2223</v>
      </c>
    </row>
    <row r="210" customFormat="false" ht="18" hidden="false" customHeight="true" outlineLevel="0" collapsed="false">
      <c r="A210" s="26" t="s">
        <v>2224</v>
      </c>
      <c r="B210" s="27" t="s">
        <v>2216</v>
      </c>
      <c r="C210" s="27" t="s">
        <v>2225</v>
      </c>
      <c r="D210" s="27" t="s">
        <v>2226</v>
      </c>
      <c r="E210" s="27" t="n">
        <v>31</v>
      </c>
      <c r="F210" s="27" t="s">
        <v>2227</v>
      </c>
    </row>
    <row r="211" customFormat="false" ht="18" hidden="false" customHeight="true" outlineLevel="0" collapsed="false">
      <c r="A211" s="26" t="s">
        <v>2228</v>
      </c>
      <c r="B211" s="27" t="s">
        <v>2229</v>
      </c>
      <c r="C211" s="27" t="s">
        <v>1353</v>
      </c>
      <c r="D211" s="27" t="s">
        <v>2230</v>
      </c>
      <c r="E211" s="27" t="n">
        <v>110</v>
      </c>
      <c r="F211" s="27" t="s">
        <v>2231</v>
      </c>
    </row>
    <row r="212" customFormat="false" ht="18" hidden="false" customHeight="true" outlineLevel="0" collapsed="false">
      <c r="A212" s="26" t="s">
        <v>2232</v>
      </c>
      <c r="B212" s="27" t="s">
        <v>2229</v>
      </c>
      <c r="C212" s="27" t="s">
        <v>2233</v>
      </c>
      <c r="D212" s="27" t="s">
        <v>2234</v>
      </c>
      <c r="E212" s="27" t="n">
        <v>96</v>
      </c>
      <c r="F212" s="27" t="s">
        <v>2235</v>
      </c>
    </row>
    <row r="213" customFormat="false" ht="18" hidden="false" customHeight="true" outlineLevel="0" collapsed="false">
      <c r="A213" s="26" t="s">
        <v>2236</v>
      </c>
      <c r="B213" s="27" t="s">
        <v>2237</v>
      </c>
      <c r="C213" s="27" t="s">
        <v>381</v>
      </c>
      <c r="D213" s="27" t="s">
        <v>2238</v>
      </c>
      <c r="E213" s="27" t="n">
        <v>34</v>
      </c>
      <c r="F213" s="27" t="s">
        <v>2239</v>
      </c>
    </row>
  </sheetData>
  <mergeCells count="30">
    <mergeCell ref="A1:F1"/>
    <mergeCell ref="A2:F2"/>
    <mergeCell ref="A4:F4"/>
    <mergeCell ref="A13:F13"/>
    <mergeCell ref="A26:F26"/>
    <mergeCell ref="A36:F36"/>
    <mergeCell ref="A54:F54"/>
    <mergeCell ref="A66:F66"/>
    <mergeCell ref="A77:F77"/>
    <mergeCell ref="A86:F86"/>
    <mergeCell ref="A87:F87"/>
    <mergeCell ref="A96:F96"/>
    <mergeCell ref="A104:F104"/>
    <mergeCell ref="A105:F105"/>
    <mergeCell ref="A120:F120"/>
    <mergeCell ref="A133:F133"/>
    <mergeCell ref="A134:F134"/>
    <mergeCell ref="A144:F144"/>
    <mergeCell ref="A149:F149"/>
    <mergeCell ref="A150:F150"/>
    <mergeCell ref="A160:F160"/>
    <mergeCell ref="A161:F161"/>
    <mergeCell ref="A169:F169"/>
    <mergeCell ref="A170:F170"/>
    <mergeCell ref="A172:F172"/>
    <mergeCell ref="A173:F173"/>
    <mergeCell ref="A187:F187"/>
    <mergeCell ref="A188:F188"/>
    <mergeCell ref="A204:F204"/>
    <mergeCell ref="A206:F206"/>
  </mergeCells>
  <printOptions headings="false" gridLines="false" gridLinesSet="true" horizontalCentered="false" verticalCentered="false"/>
  <pageMargins left="0.4" right="0.4" top="0.5" bottom="0.5" header="0.25" footer="0.25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&amp;CWillis Holdings</oddHeader>
    <oddFooter>&amp;CCONFIDENTIAL  | 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C000"/>
    <pageSetUpPr fitToPage="false"/>
  </sheetPr>
  <dimension ref="A1:F4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26"/>
    <col collapsed="false" customWidth="true" hidden="false" outlineLevel="0" max="4" min="2" style="1" width="20"/>
    <col collapsed="false" customWidth="true" hidden="false" outlineLevel="0" max="5" min="5" style="1" width="12"/>
    <col collapsed="false" customWidth="true" hidden="false" outlineLevel="0" max="6" min="6" style="1" width="18"/>
  </cols>
  <sheetData>
    <row r="1" customFormat="false" ht="24" hidden="false" customHeight="true" outlineLevel="0" collapsed="false">
      <c r="A1" s="64" t="s">
        <v>2240</v>
      </c>
      <c r="B1" s="64"/>
      <c r="C1" s="64"/>
      <c r="D1" s="64"/>
      <c r="E1" s="64"/>
      <c r="F1" s="64"/>
    </row>
    <row r="2" customFormat="false" ht="21.75" hidden="false" customHeight="true" outlineLevel="0" collapsed="false">
      <c r="A2" s="65" t="s">
        <v>2241</v>
      </c>
      <c r="B2" s="65"/>
      <c r="C2" s="65"/>
      <c r="D2" s="65"/>
      <c r="E2" s="65"/>
      <c r="F2" s="65"/>
    </row>
    <row r="3" customFormat="false" ht="6" hidden="false" customHeight="true" outlineLevel="0" collapsed="false">
      <c r="A3" s="4"/>
      <c r="B3" s="5"/>
      <c r="C3" s="5"/>
      <c r="D3" s="5"/>
      <c r="E3" s="5"/>
      <c r="F3" s="5"/>
    </row>
    <row r="4" customFormat="false" ht="24" hidden="false" customHeight="true" outlineLevel="0" collapsed="false">
      <c r="A4" s="66" t="s">
        <v>2242</v>
      </c>
      <c r="B4" s="66"/>
      <c r="C4" s="66"/>
      <c r="D4" s="66"/>
      <c r="E4" s="66"/>
      <c r="F4" s="66"/>
    </row>
    <row r="5" customFormat="false" ht="24" hidden="false" customHeight="true" outlineLevel="0" collapsed="false">
      <c r="A5" s="67" t="s">
        <v>2243</v>
      </c>
      <c r="B5" s="68" t="s">
        <v>2244</v>
      </c>
      <c r="C5" s="68" t="s">
        <v>2245</v>
      </c>
      <c r="D5" s="68" t="s">
        <v>2246</v>
      </c>
      <c r="E5" s="68" t="s">
        <v>2247</v>
      </c>
      <c r="F5" s="68" t="s">
        <v>242</v>
      </c>
    </row>
    <row r="6" customFormat="false" ht="23.25" hidden="false" customHeight="true" outlineLevel="0" collapsed="false">
      <c r="A6" s="85" t="s">
        <v>431</v>
      </c>
      <c r="B6" s="74" t="s">
        <v>2248</v>
      </c>
      <c r="C6" s="74" t="s">
        <v>2249</v>
      </c>
      <c r="D6" s="75" t="s">
        <v>2250</v>
      </c>
      <c r="E6" s="243" t="s">
        <v>2251</v>
      </c>
      <c r="F6" s="74" t="s">
        <v>231</v>
      </c>
    </row>
    <row r="7" customFormat="false" ht="23.25" hidden="false" customHeight="true" outlineLevel="0" collapsed="false">
      <c r="A7" s="85" t="s">
        <v>2252</v>
      </c>
      <c r="B7" s="74" t="s">
        <v>2253</v>
      </c>
      <c r="C7" s="74" t="s">
        <v>2254</v>
      </c>
      <c r="D7" s="75" t="s">
        <v>2255</v>
      </c>
      <c r="E7" s="243" t="s">
        <v>2256</v>
      </c>
      <c r="F7" s="74" t="s">
        <v>231</v>
      </c>
    </row>
    <row r="8" customFormat="false" ht="23.25" hidden="false" customHeight="true" outlineLevel="0" collapsed="false">
      <c r="A8" s="85" t="s">
        <v>2257</v>
      </c>
      <c r="B8" s="244" t="s">
        <v>2258</v>
      </c>
      <c r="C8" s="74" t="s">
        <v>2259</v>
      </c>
      <c r="D8" s="75" t="s">
        <v>2260</v>
      </c>
      <c r="E8" s="243" t="s">
        <v>2261</v>
      </c>
      <c r="F8" s="74" t="s">
        <v>198</v>
      </c>
    </row>
    <row r="9" customFormat="false" ht="45.75" hidden="false" customHeight="true" outlineLevel="0" collapsed="false">
      <c r="A9" s="85" t="s">
        <v>2262</v>
      </c>
      <c r="B9" s="244" t="s">
        <v>2258</v>
      </c>
      <c r="C9" s="74" t="s">
        <v>2263</v>
      </c>
      <c r="D9" s="75" t="s">
        <v>2264</v>
      </c>
      <c r="E9" s="243" t="s">
        <v>2265</v>
      </c>
      <c r="F9" s="74" t="s">
        <v>231</v>
      </c>
    </row>
    <row r="10" customFormat="false" ht="45.75" hidden="false" customHeight="true" outlineLevel="0" collapsed="false">
      <c r="A10" s="85" t="s">
        <v>2266</v>
      </c>
      <c r="B10" s="244" t="s">
        <v>2258</v>
      </c>
      <c r="C10" s="74" t="s">
        <v>2267</v>
      </c>
      <c r="D10" s="75" t="s">
        <v>2268</v>
      </c>
      <c r="E10" s="243" t="s">
        <v>2269</v>
      </c>
      <c r="F10" s="74" t="s">
        <v>198</v>
      </c>
    </row>
    <row r="11" customFormat="false" ht="45.75" hidden="false" customHeight="true" outlineLevel="0" collapsed="false">
      <c r="A11" s="85" t="s">
        <v>2270</v>
      </c>
      <c r="B11" s="74" t="s">
        <v>2271</v>
      </c>
      <c r="C11" s="74" t="s">
        <v>2272</v>
      </c>
      <c r="D11" s="75" t="s">
        <v>2273</v>
      </c>
      <c r="E11" s="243" t="s">
        <v>2274</v>
      </c>
      <c r="F11" s="74" t="s">
        <v>209</v>
      </c>
    </row>
    <row r="12" customFormat="false" ht="57" hidden="false" customHeight="true" outlineLevel="0" collapsed="false">
      <c r="A12" s="85" t="s">
        <v>2275</v>
      </c>
      <c r="B12" s="74" t="s">
        <v>2271</v>
      </c>
      <c r="C12" s="74" t="s">
        <v>2276</v>
      </c>
      <c r="D12" s="75" t="s">
        <v>2277</v>
      </c>
      <c r="E12" s="243" t="s">
        <v>2278</v>
      </c>
      <c r="F12" s="74" t="s">
        <v>209</v>
      </c>
    </row>
    <row r="13" customFormat="false" ht="45.75" hidden="false" customHeight="true" outlineLevel="0" collapsed="false">
      <c r="A13" s="85" t="s">
        <v>2279</v>
      </c>
      <c r="B13" s="74" t="s">
        <v>2280</v>
      </c>
      <c r="C13" s="74" t="s">
        <v>2281</v>
      </c>
      <c r="D13" s="75" t="s">
        <v>2282</v>
      </c>
      <c r="E13" s="243" t="s">
        <v>2283</v>
      </c>
      <c r="F13" s="74" t="s">
        <v>213</v>
      </c>
    </row>
    <row r="14" customFormat="false" ht="57" hidden="false" customHeight="true" outlineLevel="0" collapsed="false">
      <c r="A14" s="85" t="s">
        <v>1596</v>
      </c>
      <c r="B14" s="74" t="s">
        <v>2284</v>
      </c>
      <c r="C14" s="74" t="s">
        <v>2285</v>
      </c>
      <c r="D14" s="75" t="s">
        <v>2286</v>
      </c>
      <c r="E14" s="243" t="s">
        <v>2287</v>
      </c>
      <c r="F14" s="74" t="s">
        <v>222</v>
      </c>
    </row>
    <row r="15" customFormat="false" ht="57" hidden="false" customHeight="true" outlineLevel="0" collapsed="false">
      <c r="A15" s="85" t="s">
        <v>2288</v>
      </c>
      <c r="B15" s="244" t="s">
        <v>2258</v>
      </c>
      <c r="C15" s="74" t="s">
        <v>2289</v>
      </c>
      <c r="D15" s="75" t="s">
        <v>2290</v>
      </c>
      <c r="E15" s="243" t="s">
        <v>2291</v>
      </c>
      <c r="F15" s="74" t="s">
        <v>2292</v>
      </c>
    </row>
    <row r="16" customFormat="false" ht="45.75" hidden="false" customHeight="true" outlineLevel="0" collapsed="false">
      <c r="A16" s="85" t="s">
        <v>2293</v>
      </c>
      <c r="B16" s="74" t="s">
        <v>2294</v>
      </c>
      <c r="C16" s="74" t="s">
        <v>2295</v>
      </c>
      <c r="D16" s="75" t="s">
        <v>2296</v>
      </c>
      <c r="E16" s="243" t="s">
        <v>2297</v>
      </c>
      <c r="F16" s="74" t="s">
        <v>2298</v>
      </c>
    </row>
    <row r="17" customFormat="false" ht="21.75" hidden="false" customHeight="true" outlineLevel="0" collapsed="false">
      <c r="A17" s="41" t="s">
        <v>2299</v>
      </c>
      <c r="B17" s="42" t="s">
        <v>2258</v>
      </c>
      <c r="C17" s="42" t="s">
        <v>2300</v>
      </c>
      <c r="D17" s="42" t="s">
        <v>2301</v>
      </c>
      <c r="E17" s="42" t="s">
        <v>2302</v>
      </c>
      <c r="F17" s="42" t="s">
        <v>2303</v>
      </c>
    </row>
    <row r="18" customFormat="false" ht="51.75" hidden="false" customHeight="true" outlineLevel="0" collapsed="false">
      <c r="A18" s="85" t="s">
        <v>2304</v>
      </c>
      <c r="B18" s="74" t="s">
        <v>2305</v>
      </c>
      <c r="C18" s="74" t="s">
        <v>2306</v>
      </c>
      <c r="D18" s="75" t="s">
        <v>2307</v>
      </c>
      <c r="E18" s="243" t="s">
        <v>1096</v>
      </c>
      <c r="F18" s="74" t="s">
        <v>2308</v>
      </c>
    </row>
    <row r="19" customFormat="false" ht="24" hidden="false" customHeight="true" outlineLevel="0" collapsed="false">
      <c r="A19" s="77" t="s">
        <v>2309</v>
      </c>
      <c r="B19" s="245" t="s">
        <v>2310</v>
      </c>
      <c r="C19" s="246" t="s">
        <v>2311</v>
      </c>
      <c r="D19" s="247" t="s">
        <v>2312</v>
      </c>
      <c r="E19" s="248"/>
      <c r="F19" s="248" t="s">
        <v>1128</v>
      </c>
    </row>
    <row r="20" customFormat="false" ht="6" hidden="false" customHeight="true" outlineLevel="0" collapsed="false">
      <c r="A20" s="249"/>
      <c r="B20" s="249"/>
      <c r="C20" s="249"/>
      <c r="D20" s="249"/>
      <c r="E20" s="249"/>
      <c r="F20" s="249"/>
    </row>
    <row r="21" customFormat="false" ht="24" hidden="false" customHeight="true" outlineLevel="0" collapsed="false">
      <c r="A21" s="69" t="s">
        <v>2313</v>
      </c>
      <c r="B21" s="250"/>
      <c r="C21" s="250"/>
      <c r="D21" s="250"/>
      <c r="E21" s="250"/>
      <c r="F21" s="251"/>
    </row>
    <row r="22" customFormat="false" ht="24" hidden="false" customHeight="true" outlineLevel="0" collapsed="false">
      <c r="A22" s="67" t="s">
        <v>2314</v>
      </c>
      <c r="B22" s="68" t="s">
        <v>2315</v>
      </c>
      <c r="C22" s="68" t="s">
        <v>2316</v>
      </c>
      <c r="D22" s="68" t="s">
        <v>2317</v>
      </c>
      <c r="E22" s="68" t="s">
        <v>122</v>
      </c>
      <c r="F22" s="68" t="s">
        <v>156</v>
      </c>
    </row>
    <row r="23" customFormat="false" ht="45.75" hidden="false" customHeight="true" outlineLevel="0" collapsed="false">
      <c r="A23" s="85" t="s">
        <v>205</v>
      </c>
      <c r="B23" s="74" t="s">
        <v>2318</v>
      </c>
      <c r="C23" s="74" t="s">
        <v>2319</v>
      </c>
      <c r="D23" s="74" t="s">
        <v>2320</v>
      </c>
      <c r="E23" s="74" t="s">
        <v>2321</v>
      </c>
      <c r="F23" s="252" t="s">
        <v>2322</v>
      </c>
    </row>
    <row r="24" customFormat="false" ht="23.25" hidden="false" customHeight="true" outlineLevel="0" collapsed="false">
      <c r="A24" s="85" t="s">
        <v>209</v>
      </c>
      <c r="B24" s="74" t="s">
        <v>2323</v>
      </c>
      <c r="C24" s="74" t="s">
        <v>2324</v>
      </c>
      <c r="D24" s="90" t="s">
        <v>2325</v>
      </c>
      <c r="E24" s="74" t="s">
        <v>2326</v>
      </c>
      <c r="F24" s="252" t="s">
        <v>2322</v>
      </c>
    </row>
    <row r="25" customFormat="false" ht="21.75" hidden="false" customHeight="true" outlineLevel="0" collapsed="false">
      <c r="A25" s="85" t="s">
        <v>213</v>
      </c>
      <c r="B25" s="74" t="s">
        <v>2327</v>
      </c>
      <c r="C25" s="74" t="s">
        <v>2328</v>
      </c>
      <c r="D25" s="90" t="s">
        <v>2325</v>
      </c>
      <c r="E25" s="74" t="s">
        <v>2329</v>
      </c>
      <c r="F25" s="252" t="s">
        <v>2322</v>
      </c>
    </row>
    <row r="26" customFormat="false" ht="34.5" hidden="false" customHeight="true" outlineLevel="0" collapsed="false">
      <c r="A26" s="85" t="s">
        <v>217</v>
      </c>
      <c r="B26" s="74" t="s">
        <v>2330</v>
      </c>
      <c r="C26" s="74" t="s">
        <v>2331</v>
      </c>
      <c r="D26" s="74" t="s">
        <v>2332</v>
      </c>
      <c r="E26" s="74" t="s">
        <v>2333</v>
      </c>
      <c r="F26" s="252" t="s">
        <v>2322</v>
      </c>
    </row>
    <row r="27" customFormat="false" ht="34.5" hidden="false" customHeight="true" outlineLevel="0" collapsed="false">
      <c r="A27" s="85" t="s">
        <v>222</v>
      </c>
      <c r="B27" s="74" t="s">
        <v>2334</v>
      </c>
      <c r="C27" s="74" t="s">
        <v>2335</v>
      </c>
      <c r="D27" s="74" t="s">
        <v>2320</v>
      </c>
      <c r="E27" s="74" t="s">
        <v>2336</v>
      </c>
      <c r="F27" s="252" t="s">
        <v>2322</v>
      </c>
    </row>
    <row r="28" customFormat="false" ht="45.75" hidden="false" customHeight="true" outlineLevel="0" collapsed="false">
      <c r="A28" s="85" t="s">
        <v>226</v>
      </c>
      <c r="B28" s="74" t="s">
        <v>2337</v>
      </c>
      <c r="C28" s="74" t="s">
        <v>2338</v>
      </c>
      <c r="D28" s="74" t="s">
        <v>2320</v>
      </c>
      <c r="E28" s="74" t="s">
        <v>2339</v>
      </c>
      <c r="F28" s="252" t="s">
        <v>2322</v>
      </c>
    </row>
    <row r="29" customFormat="false" ht="26.25" hidden="false" customHeight="true" outlineLevel="0" collapsed="false">
      <c r="A29" s="85" t="s">
        <v>231</v>
      </c>
      <c r="B29" s="74" t="s">
        <v>2340</v>
      </c>
      <c r="C29" s="74" t="s">
        <v>2341</v>
      </c>
      <c r="D29" s="74" t="s">
        <v>2342</v>
      </c>
      <c r="E29" s="74" t="s">
        <v>2343</v>
      </c>
      <c r="F29" s="252" t="s">
        <v>2322</v>
      </c>
    </row>
    <row r="30" customFormat="false" ht="24" hidden="false" customHeight="true" outlineLevel="0" collapsed="false">
      <c r="A30" s="77" t="s">
        <v>2344</v>
      </c>
      <c r="B30" s="248" t="s">
        <v>2345</v>
      </c>
      <c r="C30" s="246" t="s">
        <v>2346</v>
      </c>
      <c r="D30" s="78" t="s">
        <v>2347</v>
      </c>
      <c r="E30" s="78" t="s">
        <v>2348</v>
      </c>
      <c r="F30" s="82" t="s">
        <v>2349</v>
      </c>
    </row>
    <row r="31" customFormat="false" ht="6" hidden="false" customHeight="true" outlineLevel="0" collapsed="false">
      <c r="A31" s="249"/>
      <c r="B31" s="249"/>
      <c r="C31" s="249"/>
      <c r="D31" s="249"/>
      <c r="E31" s="249"/>
      <c r="F31" s="249"/>
    </row>
    <row r="32" customFormat="false" ht="24" hidden="false" customHeight="true" outlineLevel="0" collapsed="false">
      <c r="A32" s="253" t="s">
        <v>2350</v>
      </c>
      <c r="B32" s="254"/>
      <c r="C32" s="254"/>
      <c r="D32" s="254"/>
      <c r="E32" s="254"/>
      <c r="F32" s="255"/>
    </row>
    <row r="33" customFormat="false" ht="24" hidden="false" customHeight="true" outlineLevel="0" collapsed="false">
      <c r="A33" s="67" t="s">
        <v>2351</v>
      </c>
      <c r="B33" s="68" t="s">
        <v>2352</v>
      </c>
      <c r="C33" s="68" t="s">
        <v>1053</v>
      </c>
      <c r="D33" s="68" t="s">
        <v>1054</v>
      </c>
      <c r="E33" s="68" t="s">
        <v>2353</v>
      </c>
      <c r="F33" s="68" t="s">
        <v>242</v>
      </c>
    </row>
    <row r="34" customFormat="false" ht="23.25" hidden="false" customHeight="true" outlineLevel="0" collapsed="false">
      <c r="A34" s="85" t="s">
        <v>1056</v>
      </c>
      <c r="B34" s="74" t="s">
        <v>1115</v>
      </c>
      <c r="C34" s="74" t="s">
        <v>2354</v>
      </c>
      <c r="D34" s="74" t="s">
        <v>2355</v>
      </c>
      <c r="E34" s="75" t="s">
        <v>2356</v>
      </c>
      <c r="F34" s="74" t="s">
        <v>198</v>
      </c>
    </row>
    <row r="35" customFormat="false" ht="18" hidden="false" customHeight="true" outlineLevel="0" collapsed="false">
      <c r="A35" s="85" t="s">
        <v>1063</v>
      </c>
      <c r="B35" s="74" t="s">
        <v>2357</v>
      </c>
      <c r="C35" s="74" t="s">
        <v>2358</v>
      </c>
      <c r="D35" s="74" t="s">
        <v>2359</v>
      </c>
      <c r="E35" s="75" t="s">
        <v>2360</v>
      </c>
      <c r="F35" s="74" t="s">
        <v>231</v>
      </c>
    </row>
    <row r="36" customFormat="false" ht="18" hidden="false" customHeight="true" outlineLevel="0" collapsed="false">
      <c r="A36" s="85" t="s">
        <v>551</v>
      </c>
      <c r="B36" s="74" t="s">
        <v>2361</v>
      </c>
      <c r="C36" s="74" t="s">
        <v>2362</v>
      </c>
      <c r="D36" s="74" t="s">
        <v>2363</v>
      </c>
      <c r="E36" s="75" t="s">
        <v>2364</v>
      </c>
      <c r="F36" s="74" t="s">
        <v>205</v>
      </c>
    </row>
    <row r="37" customFormat="false" ht="18" hidden="false" customHeight="true" outlineLevel="0" collapsed="false">
      <c r="A37" s="85" t="s">
        <v>545</v>
      </c>
      <c r="B37" s="74" t="s">
        <v>2365</v>
      </c>
      <c r="C37" s="74" t="s">
        <v>2366</v>
      </c>
      <c r="D37" s="74" t="s">
        <v>2367</v>
      </c>
      <c r="E37" s="75" t="s">
        <v>2368</v>
      </c>
      <c r="F37" s="74" t="s">
        <v>222</v>
      </c>
    </row>
    <row r="38" customFormat="false" ht="18" hidden="false" customHeight="true" outlineLevel="0" collapsed="false">
      <c r="A38" s="85" t="s">
        <v>1394</v>
      </c>
      <c r="B38" s="74" t="s">
        <v>2369</v>
      </c>
      <c r="C38" s="74" t="s">
        <v>2370</v>
      </c>
      <c r="D38" s="74" t="s">
        <v>2371</v>
      </c>
      <c r="E38" s="75" t="s">
        <v>2372</v>
      </c>
      <c r="F38" s="74" t="s">
        <v>2373</v>
      </c>
    </row>
    <row r="39" customFormat="false" ht="18" hidden="false" customHeight="true" outlineLevel="0" collapsed="false">
      <c r="A39" s="85" t="s">
        <v>1398</v>
      </c>
      <c r="B39" s="74" t="s">
        <v>2374</v>
      </c>
      <c r="C39" s="74" t="s">
        <v>2375</v>
      </c>
      <c r="D39" s="74" t="s">
        <v>1067</v>
      </c>
      <c r="E39" s="256" t="s">
        <v>2376</v>
      </c>
      <c r="F39" s="74" t="s">
        <v>209</v>
      </c>
    </row>
    <row r="40" customFormat="false" ht="39" hidden="false" customHeight="true" outlineLevel="0" collapsed="false">
      <c r="A40" s="85" t="s">
        <v>541</v>
      </c>
      <c r="B40" s="74" t="s">
        <v>2288</v>
      </c>
      <c r="C40" s="74" t="s">
        <v>2377</v>
      </c>
      <c r="D40" s="74" t="s">
        <v>2378</v>
      </c>
      <c r="E40" s="75" t="s">
        <v>2379</v>
      </c>
      <c r="F40" s="74" t="s">
        <v>2292</v>
      </c>
    </row>
    <row r="41" customFormat="false" ht="24" hidden="false" customHeight="true" outlineLevel="0" collapsed="false">
      <c r="A41" s="77" t="s">
        <v>1092</v>
      </c>
      <c r="B41" s="246" t="s">
        <v>2380</v>
      </c>
      <c r="C41" s="257" t="s">
        <v>2381</v>
      </c>
      <c r="D41" s="248" t="s">
        <v>2382</v>
      </c>
      <c r="E41" s="82" t="s">
        <v>2383</v>
      </c>
      <c r="F41" s="82" t="s">
        <v>2384</v>
      </c>
    </row>
    <row r="42" customFormat="false" ht="6" hidden="false" customHeight="true" outlineLevel="0" collapsed="false">
      <c r="A42" s="249"/>
      <c r="B42" s="249"/>
      <c r="C42" s="249"/>
      <c r="D42" s="249"/>
      <c r="E42" s="249"/>
      <c r="F42" s="249"/>
    </row>
    <row r="43" customFormat="false" ht="74.25" hidden="false" customHeight="true" outlineLevel="0" collapsed="false">
      <c r="A43" s="258" t="s">
        <v>2385</v>
      </c>
      <c r="B43" s="254"/>
      <c r="C43" s="254"/>
      <c r="D43" s="254"/>
      <c r="E43" s="254"/>
      <c r="F43" s="255"/>
    </row>
  </sheetData>
  <mergeCells count="6">
    <mergeCell ref="A1:F1"/>
    <mergeCell ref="A2:F2"/>
    <mergeCell ref="A4:F4"/>
    <mergeCell ref="A20:F20"/>
    <mergeCell ref="A31:F31"/>
    <mergeCell ref="A42:F42"/>
  </mergeCells>
  <printOptions headings="false" gridLines="false" gridLinesSet="true" horizontalCentered="false" verticalCentered="false"/>
  <pageMargins left="0.4" right="0.4" top="0.5" bottom="0.5" header="0.25" footer="0.25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&amp;CWillis Holdings</oddHeader>
    <oddFooter>&amp;CCONFIDENTIAL  | 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C000"/>
    <pageSetUpPr fitToPage="false"/>
  </sheetPr>
  <dimension ref="A1:D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10"/>
    <col collapsed="false" customWidth="true" hidden="false" outlineLevel="0" max="3" min="2" style="1" width="45"/>
    <col collapsed="false" customWidth="true" hidden="false" outlineLevel="0" max="4" min="4" style="1" width="14"/>
  </cols>
  <sheetData>
    <row r="1" customFormat="false" ht="24" hidden="false" customHeight="true" outlineLevel="0" collapsed="false">
      <c r="A1" s="2" t="s">
        <v>2386</v>
      </c>
      <c r="B1" s="2"/>
      <c r="C1" s="2"/>
      <c r="D1" s="2"/>
    </row>
    <row r="2" customFormat="false" ht="21.75" hidden="false" customHeight="true" outlineLevel="0" collapsed="false">
      <c r="A2" s="259" t="s">
        <v>2387</v>
      </c>
    </row>
    <row r="3" customFormat="false" ht="24" hidden="false" customHeight="true" outlineLevel="0" collapsed="false">
      <c r="A3" s="24" t="s">
        <v>388</v>
      </c>
      <c r="B3" s="25" t="s">
        <v>951</v>
      </c>
      <c r="C3" s="25" t="s">
        <v>2388</v>
      </c>
      <c r="D3" s="25" t="s">
        <v>1054</v>
      </c>
    </row>
    <row r="4" customFormat="false" ht="45" hidden="false" customHeight="true" outlineLevel="0" collapsed="false">
      <c r="A4" s="260" t="s">
        <v>396</v>
      </c>
      <c r="B4" s="42" t="s">
        <v>2389</v>
      </c>
      <c r="C4" s="42" t="s">
        <v>2390</v>
      </c>
      <c r="D4" s="42" t="s">
        <v>2363</v>
      </c>
    </row>
    <row r="5" customFormat="false" ht="45" hidden="false" customHeight="true" outlineLevel="0" collapsed="false">
      <c r="A5" s="260" t="s">
        <v>396</v>
      </c>
      <c r="B5" s="42" t="s">
        <v>2391</v>
      </c>
      <c r="C5" s="42" t="s">
        <v>2392</v>
      </c>
      <c r="D5" s="42" t="s">
        <v>2393</v>
      </c>
    </row>
    <row r="6" customFormat="false" ht="45" hidden="false" customHeight="true" outlineLevel="0" collapsed="false">
      <c r="A6" s="261" t="s">
        <v>396</v>
      </c>
      <c r="B6" s="27" t="s">
        <v>2394</v>
      </c>
      <c r="C6" s="27" t="s">
        <v>2395</v>
      </c>
      <c r="D6" s="27" t="s">
        <v>2363</v>
      </c>
    </row>
    <row r="7" customFormat="false" ht="45" hidden="false" customHeight="true" outlineLevel="0" collapsed="false">
      <c r="A7" s="261" t="s">
        <v>396</v>
      </c>
      <c r="B7" s="27" t="s">
        <v>2396</v>
      </c>
      <c r="C7" s="27" t="s">
        <v>2397</v>
      </c>
      <c r="D7" s="27" t="s">
        <v>2398</v>
      </c>
    </row>
    <row r="8" customFormat="false" ht="45" hidden="false" customHeight="true" outlineLevel="0" collapsed="false">
      <c r="A8" s="261" t="s">
        <v>396</v>
      </c>
      <c r="B8" s="27" t="s">
        <v>2399</v>
      </c>
      <c r="C8" s="27" t="s">
        <v>2400</v>
      </c>
      <c r="D8" s="27" t="s">
        <v>2401</v>
      </c>
    </row>
    <row r="9" customFormat="false" ht="45" hidden="false" customHeight="true" outlineLevel="0" collapsed="false">
      <c r="A9" s="262" t="s">
        <v>407</v>
      </c>
      <c r="B9" s="27" t="s">
        <v>2402</v>
      </c>
      <c r="C9" s="27" t="s">
        <v>2403</v>
      </c>
      <c r="D9" s="27" t="s">
        <v>1067</v>
      </c>
    </row>
    <row r="10" customFormat="false" ht="45" hidden="false" customHeight="true" outlineLevel="0" collapsed="false">
      <c r="A10" s="262" t="s">
        <v>407</v>
      </c>
      <c r="B10" s="27" t="s">
        <v>2404</v>
      </c>
      <c r="C10" s="27" t="s">
        <v>2405</v>
      </c>
      <c r="D10" s="27" t="s">
        <v>2406</v>
      </c>
    </row>
    <row r="11" customFormat="false" ht="45" hidden="false" customHeight="true" outlineLevel="0" collapsed="false">
      <c r="A11" s="262" t="s">
        <v>407</v>
      </c>
      <c r="B11" s="27" t="s">
        <v>2407</v>
      </c>
      <c r="C11" s="27" t="s">
        <v>2408</v>
      </c>
      <c r="D11" s="27" t="s">
        <v>1067</v>
      </c>
    </row>
    <row r="12" customFormat="false" ht="45" hidden="false" customHeight="true" outlineLevel="0" collapsed="false">
      <c r="A12" s="262" t="s">
        <v>407</v>
      </c>
      <c r="B12" s="27" t="s">
        <v>2409</v>
      </c>
      <c r="C12" s="27" t="s">
        <v>2410</v>
      </c>
      <c r="D12" s="27" t="s">
        <v>2367</v>
      </c>
    </row>
    <row r="13" customFormat="false" ht="45" hidden="false" customHeight="true" outlineLevel="0" collapsed="false">
      <c r="A13" s="262" t="s">
        <v>407</v>
      </c>
      <c r="B13" s="27" t="s">
        <v>2411</v>
      </c>
      <c r="C13" s="27" t="s">
        <v>2412</v>
      </c>
      <c r="D13" s="27" t="s">
        <v>2406</v>
      </c>
    </row>
    <row r="14" customFormat="false" ht="45" hidden="false" customHeight="true" outlineLevel="0" collapsed="false">
      <c r="A14" s="26" t="s">
        <v>420</v>
      </c>
      <c r="B14" s="27" t="s">
        <v>2413</v>
      </c>
      <c r="C14" s="27" t="s">
        <v>2414</v>
      </c>
      <c r="D14" s="27" t="s">
        <v>1076</v>
      </c>
    </row>
    <row r="15" customFormat="false" ht="45" hidden="false" customHeight="true" outlineLevel="0" collapsed="false">
      <c r="A15" s="26" t="s">
        <v>420</v>
      </c>
      <c r="B15" s="27" t="s">
        <v>2415</v>
      </c>
      <c r="C15" s="27" t="s">
        <v>2416</v>
      </c>
      <c r="D15" s="27" t="s">
        <v>1076</v>
      </c>
    </row>
    <row r="16" customFormat="false" ht="45" hidden="false" customHeight="true" outlineLevel="0" collapsed="false">
      <c r="A16" s="26" t="s">
        <v>420</v>
      </c>
      <c r="B16" s="27" t="s">
        <v>2417</v>
      </c>
      <c r="C16" s="27" t="s">
        <v>2418</v>
      </c>
      <c r="D16" s="27" t="s">
        <v>2401</v>
      </c>
    </row>
    <row r="17" customFormat="false" ht="45" hidden="false" customHeight="true" outlineLevel="0" collapsed="false">
      <c r="A17" s="26" t="s">
        <v>420</v>
      </c>
      <c r="B17" s="27" t="s">
        <v>2419</v>
      </c>
      <c r="C17" s="27" t="s">
        <v>2420</v>
      </c>
      <c r="D17" s="27" t="s">
        <v>2378</v>
      </c>
    </row>
    <row r="18" customFormat="false" ht="45" hidden="false" customHeight="true" outlineLevel="0" collapsed="false">
      <c r="A18" s="26" t="s">
        <v>420</v>
      </c>
      <c r="B18" s="27" t="s">
        <v>2421</v>
      </c>
      <c r="C18" s="27" t="s">
        <v>2422</v>
      </c>
      <c r="D18" s="27" t="s">
        <v>2367</v>
      </c>
    </row>
    <row r="19" customFormat="false" ht="23.25" hidden="false" customHeight="true" outlineLevel="0" collapsed="false">
      <c r="A19" s="26" t="s">
        <v>2423</v>
      </c>
      <c r="B19" s="27" t="s">
        <v>2424</v>
      </c>
      <c r="C19" s="27" t="s">
        <v>2425</v>
      </c>
      <c r="D19" s="27" t="s">
        <v>1067</v>
      </c>
    </row>
    <row r="20" customFormat="false" ht="21.75" hidden="false" customHeight="true" outlineLevel="0" collapsed="false">
      <c r="A20" s="26" t="s">
        <v>2423</v>
      </c>
      <c r="B20" s="27" t="s">
        <v>2426</v>
      </c>
      <c r="C20" s="27" t="s">
        <v>2427</v>
      </c>
      <c r="D20" s="27" t="s">
        <v>1076</v>
      </c>
    </row>
    <row r="21" customFormat="false" ht="6" hidden="false" customHeight="true" outlineLevel="0" collapsed="false">
      <c r="A21" s="4"/>
      <c r="B21" s="5"/>
      <c r="C21" s="5"/>
      <c r="D21" s="5"/>
    </row>
    <row r="22" customFormat="false" ht="24" hidden="false" customHeight="true" outlineLevel="0" collapsed="false">
      <c r="A22" s="228" t="s">
        <v>2344</v>
      </c>
      <c r="B22" s="263" t="s">
        <v>2428</v>
      </c>
      <c r="C22" s="231"/>
      <c r="D22" s="231"/>
    </row>
  </sheetData>
  <mergeCells count="1">
    <mergeCell ref="A1:D1"/>
  </mergeCells>
  <printOptions headings="false" gridLines="false" gridLinesSet="true" horizontalCentered="false" verticalCentered="false"/>
  <pageMargins left="0.4" right="0.4" top="0.5" bottom="0.5" header="0.25" footer="0.25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&amp;CWillis Holdings</oddHeader>
    <oddFooter>&amp;CCONFIDENTIAL  |  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5A5A5"/>
    <pageSetUpPr fitToPage="false"/>
  </sheetPr>
  <dimension ref="A1:Q7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20"/>
    <col collapsed="false" customWidth="true" hidden="false" outlineLevel="0" max="3" min="3" style="1" width="28"/>
    <col collapsed="false" customWidth="true" hidden="false" outlineLevel="0" max="4" min="4" style="1" width="14"/>
    <col collapsed="false" customWidth="true" hidden="false" outlineLevel="0" max="10" min="5" style="1" width="10"/>
    <col collapsed="false" customWidth="true" hidden="false" outlineLevel="0" max="14" min="11" style="1" width="8"/>
    <col collapsed="false" customWidth="true" hidden="false" outlineLevel="0" max="17" min="15" style="1" width="10"/>
  </cols>
  <sheetData>
    <row r="1" customFormat="false" ht="24" hidden="false" customHeight="true" outlineLevel="0" collapsed="false">
      <c r="A1" s="29" t="s">
        <v>2429</v>
      </c>
    </row>
    <row r="2" customFormat="false" ht="21.75" hidden="false" customHeight="true" outlineLevel="0" collapsed="false">
      <c r="A2" s="23" t="s">
        <v>2430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</row>
    <row r="3" customFormat="false" ht="21.75" hidden="false" customHeight="true" outlineLevel="0" collapsed="false">
      <c r="A3" s="264" t="s">
        <v>2431</v>
      </c>
      <c r="B3" s="264"/>
      <c r="C3" s="264"/>
      <c r="D3" s="264"/>
      <c r="E3" s="264"/>
      <c r="F3" s="264"/>
      <c r="G3" s="264"/>
      <c r="H3" s="264"/>
      <c r="I3" s="264"/>
      <c r="J3" s="264"/>
      <c r="K3" s="264"/>
      <c r="L3" s="264"/>
      <c r="M3" s="264"/>
      <c r="N3" s="264"/>
      <c r="O3" s="264"/>
      <c r="P3" s="264"/>
      <c r="Q3" s="264"/>
    </row>
    <row r="4" customFormat="false" ht="21.75" hidden="false" customHeight="true" outlineLevel="0" collapsed="false">
      <c r="A4" s="265" t="s">
        <v>2432</v>
      </c>
      <c r="B4" s="265"/>
      <c r="C4" s="265"/>
      <c r="D4" s="265"/>
      <c r="E4" s="265"/>
      <c r="F4" s="265"/>
      <c r="G4" s="265"/>
      <c r="H4" s="265"/>
      <c r="I4" s="265"/>
      <c r="J4" s="265"/>
      <c r="K4" s="265"/>
      <c r="L4" s="265"/>
      <c r="M4" s="265"/>
      <c r="N4" s="265"/>
      <c r="O4" s="265"/>
      <c r="P4" s="265"/>
      <c r="Q4" s="265"/>
    </row>
    <row r="5" customFormat="false" ht="6" hidden="false" customHeight="true" outlineLevel="0" collapsed="false">
      <c r="A5" s="4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</row>
    <row r="6" customFormat="false" ht="18" hidden="false" customHeight="true" outlineLevel="0" collapsed="false">
      <c r="A6" s="266" t="s">
        <v>2433</v>
      </c>
      <c r="B6" s="267" t="s">
        <v>2434</v>
      </c>
      <c r="C6" s="267" t="s">
        <v>2435</v>
      </c>
      <c r="D6" s="267" t="s">
        <v>1838</v>
      </c>
      <c r="E6" s="267" t="s">
        <v>2436</v>
      </c>
      <c r="F6" s="267" t="s">
        <v>2437</v>
      </c>
      <c r="G6" s="267" t="s">
        <v>9</v>
      </c>
      <c r="H6" s="267" t="s">
        <v>2438</v>
      </c>
      <c r="I6" s="267" t="s">
        <v>2439</v>
      </c>
      <c r="J6" s="267" t="s">
        <v>2440</v>
      </c>
      <c r="K6" s="267" t="s">
        <v>1312</v>
      </c>
      <c r="L6" s="267" t="s">
        <v>1135</v>
      </c>
      <c r="M6" s="267" t="s">
        <v>2441</v>
      </c>
      <c r="N6" s="267" t="s">
        <v>2442</v>
      </c>
      <c r="O6" s="267" t="s">
        <v>2443</v>
      </c>
      <c r="P6" s="267" t="s">
        <v>2444</v>
      </c>
      <c r="Q6" s="267" t="s">
        <v>2445</v>
      </c>
    </row>
    <row r="7" customFormat="false" ht="21.75" hidden="false" customHeight="true" outlineLevel="0" collapsed="false">
      <c r="A7" s="191" t="n">
        <v>1</v>
      </c>
      <c r="B7" s="193" t="s">
        <v>2446</v>
      </c>
      <c r="C7" s="193" t="s">
        <v>2447</v>
      </c>
      <c r="D7" s="193" t="s">
        <v>2448</v>
      </c>
      <c r="E7" s="193" t="s">
        <v>2449</v>
      </c>
      <c r="F7" s="133" t="n">
        <v>861</v>
      </c>
      <c r="G7" s="193" t="n">
        <v>3.4</v>
      </c>
      <c r="H7" s="268" t="n">
        <v>63682</v>
      </c>
      <c r="I7" s="269" t="n">
        <v>127.4</v>
      </c>
      <c r="J7" s="270" t="n">
        <v>212.3</v>
      </c>
      <c r="K7" s="271" t="n">
        <v>2.571</v>
      </c>
      <c r="L7" s="272" t="n">
        <v>19</v>
      </c>
      <c r="M7" s="132" t="n">
        <v>12.8</v>
      </c>
      <c r="N7" s="273" t="s">
        <v>2450</v>
      </c>
      <c r="O7" s="271" t="n">
        <v>1.119</v>
      </c>
      <c r="P7" s="271" t="n">
        <v>2.571</v>
      </c>
      <c r="Q7" s="134" t="n">
        <v>-1.45</v>
      </c>
    </row>
    <row r="8" customFormat="false" ht="21.75" hidden="false" customHeight="true" outlineLevel="0" collapsed="false">
      <c r="A8" s="191" t="n">
        <v>2</v>
      </c>
      <c r="B8" s="193" t="s">
        <v>2451</v>
      </c>
      <c r="C8" s="193" t="s">
        <v>2447</v>
      </c>
      <c r="D8" s="193" t="s">
        <v>1862</v>
      </c>
      <c r="E8" s="193" t="s">
        <v>2449</v>
      </c>
      <c r="F8" s="133" t="n">
        <v>504</v>
      </c>
      <c r="G8" s="193" t="n">
        <v>2</v>
      </c>
      <c r="H8" s="268" t="n">
        <v>53882</v>
      </c>
      <c r="I8" s="269" t="n">
        <v>107.8</v>
      </c>
      <c r="J8" s="270" t="n">
        <v>179.6</v>
      </c>
      <c r="K8" s="271" t="n">
        <v>1.868</v>
      </c>
      <c r="L8" s="272" t="n">
        <v>10</v>
      </c>
      <c r="M8" s="132" t="n">
        <v>23.9</v>
      </c>
      <c r="N8" s="273" t="s">
        <v>2450</v>
      </c>
      <c r="O8" s="271" t="n">
        <v>2.039</v>
      </c>
      <c r="P8" s="271" t="n">
        <v>1.868</v>
      </c>
      <c r="Q8" s="134" t="n">
        <v>0.17</v>
      </c>
    </row>
    <row r="9" customFormat="false" ht="21.75" hidden="false" customHeight="true" outlineLevel="0" collapsed="false">
      <c r="A9" s="274" t="n">
        <v>3</v>
      </c>
      <c r="B9" s="275" t="s">
        <v>2452</v>
      </c>
      <c r="C9" s="275" t="s">
        <v>2447</v>
      </c>
      <c r="D9" s="275" t="s">
        <v>2448</v>
      </c>
      <c r="E9" s="275" t="s">
        <v>2449</v>
      </c>
      <c r="F9" s="276" t="n">
        <v>853</v>
      </c>
      <c r="G9" s="275" t="n">
        <v>3.4</v>
      </c>
      <c r="H9" s="277" t="n">
        <v>50145</v>
      </c>
      <c r="I9" s="278" t="n">
        <v>100.3</v>
      </c>
      <c r="J9" s="279" t="n">
        <v>167.2</v>
      </c>
      <c r="K9" s="280" t="n">
        <v>1.445</v>
      </c>
      <c r="L9" s="281" t="n">
        <v>17</v>
      </c>
      <c r="M9" s="282" t="n">
        <v>43.5</v>
      </c>
      <c r="N9" s="283" t="s">
        <v>2453</v>
      </c>
      <c r="O9" s="280" t="n">
        <v>3.429</v>
      </c>
      <c r="P9" s="280" t="n">
        <v>1.445</v>
      </c>
      <c r="Q9" s="284" t="n">
        <v>1.98</v>
      </c>
    </row>
    <row r="10" customFormat="false" ht="21.75" hidden="false" customHeight="true" outlineLevel="0" collapsed="false">
      <c r="A10" s="285" t="n">
        <v>4</v>
      </c>
      <c r="B10" s="166" t="s">
        <v>2454</v>
      </c>
      <c r="C10" s="166" t="s">
        <v>2455</v>
      </c>
      <c r="D10" s="166" t="s">
        <v>1862</v>
      </c>
      <c r="E10" s="166" t="s">
        <v>2456</v>
      </c>
      <c r="F10" s="162" t="n">
        <v>528</v>
      </c>
      <c r="G10" s="166" t="n">
        <v>2.1</v>
      </c>
      <c r="H10" s="286" t="n">
        <v>40225</v>
      </c>
      <c r="I10" s="287" t="n">
        <v>80.5</v>
      </c>
      <c r="J10" s="288" t="n">
        <v>134.1</v>
      </c>
      <c r="K10" s="289" t="n">
        <v>1.175</v>
      </c>
      <c r="L10" s="290" t="n">
        <v>16</v>
      </c>
      <c r="M10" s="161" t="n">
        <v>23.3</v>
      </c>
      <c r="N10" s="291" t="s">
        <v>2453</v>
      </c>
      <c r="O10" s="289" t="n">
        <v>3.326</v>
      </c>
      <c r="P10" s="289" t="n">
        <v>1.175</v>
      </c>
      <c r="Q10" s="163" t="n">
        <v>2.15</v>
      </c>
    </row>
    <row r="11" customFormat="false" ht="18" hidden="false" customHeight="true" outlineLevel="0" collapsed="false">
      <c r="A11" s="274" t="n">
        <v>5</v>
      </c>
      <c r="B11" s="275" t="s">
        <v>2457</v>
      </c>
      <c r="C11" s="275" t="s">
        <v>2458</v>
      </c>
      <c r="D11" s="275" t="s">
        <v>1862</v>
      </c>
      <c r="E11" s="275" t="s">
        <v>2459</v>
      </c>
      <c r="F11" s="276" t="n">
        <v>534</v>
      </c>
      <c r="G11" s="275" t="n">
        <v>2.1</v>
      </c>
      <c r="H11" s="277" t="n">
        <v>34138</v>
      </c>
      <c r="I11" s="278" t="n">
        <v>68.3</v>
      </c>
      <c r="J11" s="279" t="n">
        <v>113.8</v>
      </c>
      <c r="K11" s="280" t="n">
        <v>1.067</v>
      </c>
      <c r="L11" s="281" t="n">
        <v>8</v>
      </c>
      <c r="M11" s="282" t="n">
        <v>24</v>
      </c>
      <c r="N11" s="283" t="s">
        <v>2453</v>
      </c>
      <c r="O11" s="280" t="n">
        <v>3.362</v>
      </c>
      <c r="P11" s="280" t="n">
        <v>1.067</v>
      </c>
      <c r="Q11" s="284" t="n">
        <v>2.29</v>
      </c>
    </row>
    <row r="12" customFormat="false" ht="21.75" hidden="false" customHeight="true" outlineLevel="0" collapsed="false">
      <c r="A12" s="285" t="n">
        <v>6</v>
      </c>
      <c r="B12" s="166" t="s">
        <v>2460</v>
      </c>
      <c r="C12" s="166" t="s">
        <v>2455</v>
      </c>
      <c r="D12" s="166" t="s">
        <v>2461</v>
      </c>
      <c r="E12" s="166" t="s">
        <v>2456</v>
      </c>
      <c r="F12" s="162" t="n">
        <v>1204</v>
      </c>
      <c r="G12" s="166" t="n">
        <v>4.8</v>
      </c>
      <c r="H12" s="286" t="n">
        <v>30988</v>
      </c>
      <c r="I12" s="287" t="n">
        <v>62</v>
      </c>
      <c r="J12" s="288" t="n">
        <v>103.3</v>
      </c>
      <c r="K12" s="289" t="n">
        <v>1.221</v>
      </c>
      <c r="L12" s="290" t="n">
        <v>25</v>
      </c>
      <c r="M12" s="161" t="n">
        <v>28.8</v>
      </c>
      <c r="N12" s="291" t="s">
        <v>2453</v>
      </c>
      <c r="O12" s="289" t="n">
        <v>5.323</v>
      </c>
      <c r="P12" s="289" t="n">
        <v>1.221</v>
      </c>
      <c r="Q12" s="163" t="n">
        <v>4.1</v>
      </c>
    </row>
    <row r="13" customFormat="false" ht="18" hidden="false" customHeight="true" outlineLevel="0" collapsed="false">
      <c r="A13" s="191" t="n">
        <v>7</v>
      </c>
      <c r="B13" s="193" t="s">
        <v>2462</v>
      </c>
      <c r="C13" s="193" t="s">
        <v>2458</v>
      </c>
      <c r="D13" s="193" t="s">
        <v>2461</v>
      </c>
      <c r="E13" s="193" t="s">
        <v>2456</v>
      </c>
      <c r="F13" s="133" t="n">
        <v>1242</v>
      </c>
      <c r="G13" s="193" t="n">
        <v>4.9</v>
      </c>
      <c r="H13" s="268" t="n">
        <v>30446</v>
      </c>
      <c r="I13" s="269" t="n">
        <v>60.9</v>
      </c>
      <c r="J13" s="270" t="n">
        <v>101.5</v>
      </c>
      <c r="K13" s="271" t="n">
        <v>1.224</v>
      </c>
      <c r="L13" s="272" t="n">
        <v>19</v>
      </c>
      <c r="M13" s="132" t="n">
        <v>41.4</v>
      </c>
      <c r="N13" s="273" t="s">
        <v>2450</v>
      </c>
      <c r="O13" s="271" t="n">
        <v>2.136</v>
      </c>
      <c r="P13" s="271" t="n">
        <v>1.224</v>
      </c>
      <c r="Q13" s="134" t="n">
        <v>0.91</v>
      </c>
    </row>
    <row r="14" customFormat="false" ht="21.75" hidden="false" customHeight="true" outlineLevel="0" collapsed="false">
      <c r="A14" s="191" t="n">
        <v>8</v>
      </c>
      <c r="B14" s="193" t="s">
        <v>2463</v>
      </c>
      <c r="C14" s="193" t="s">
        <v>2447</v>
      </c>
      <c r="D14" s="193" t="s">
        <v>2461</v>
      </c>
      <c r="E14" s="193" t="s">
        <v>2456</v>
      </c>
      <c r="F14" s="133" t="n">
        <v>1028</v>
      </c>
      <c r="G14" s="193" t="n">
        <v>4.1</v>
      </c>
      <c r="H14" s="268" t="n">
        <v>26920</v>
      </c>
      <c r="I14" s="269" t="n">
        <v>53.8</v>
      </c>
      <c r="J14" s="270" t="n">
        <v>89.7</v>
      </c>
      <c r="K14" s="271" t="n">
        <v>1.027</v>
      </c>
      <c r="L14" s="272" t="n">
        <v>21</v>
      </c>
      <c r="M14" s="132" t="n">
        <v>26.1</v>
      </c>
      <c r="N14" s="273" t="s">
        <v>2450</v>
      </c>
      <c r="O14" s="271" t="n">
        <v>0.906</v>
      </c>
      <c r="P14" s="271" t="n">
        <v>1.027</v>
      </c>
      <c r="Q14" s="134" t="n">
        <v>-0.12</v>
      </c>
    </row>
    <row r="15" customFormat="false" ht="21.75" hidden="false" customHeight="true" outlineLevel="0" collapsed="false">
      <c r="A15" s="191" t="n">
        <v>9</v>
      </c>
      <c r="B15" s="193" t="s">
        <v>2464</v>
      </c>
      <c r="C15" s="193" t="s">
        <v>2455</v>
      </c>
      <c r="D15" s="193" t="s">
        <v>2448</v>
      </c>
      <c r="E15" s="193" t="s">
        <v>2459</v>
      </c>
      <c r="F15" s="133" t="n">
        <v>823</v>
      </c>
      <c r="G15" s="193" t="n">
        <v>3.3</v>
      </c>
      <c r="H15" s="268" t="n">
        <v>26022</v>
      </c>
      <c r="I15" s="269" t="n">
        <v>52</v>
      </c>
      <c r="J15" s="270" t="n">
        <v>86.7</v>
      </c>
      <c r="K15" s="271" t="n">
        <v>1.011</v>
      </c>
      <c r="L15" s="272" t="n">
        <v>14</v>
      </c>
      <c r="M15" s="132" t="n">
        <v>29.5</v>
      </c>
      <c r="N15" s="273" t="s">
        <v>2450</v>
      </c>
      <c r="O15" s="271" t="n">
        <v>2.42</v>
      </c>
      <c r="P15" s="271" t="n">
        <v>1.011</v>
      </c>
      <c r="Q15" s="134" t="n">
        <v>1.41</v>
      </c>
    </row>
    <row r="16" customFormat="false" ht="18" hidden="false" customHeight="true" outlineLevel="0" collapsed="false">
      <c r="A16" s="285" t="n">
        <v>10</v>
      </c>
      <c r="B16" s="166" t="s">
        <v>2465</v>
      </c>
      <c r="C16" s="166" t="s">
        <v>2458</v>
      </c>
      <c r="D16" s="166" t="s">
        <v>1862</v>
      </c>
      <c r="E16" s="166" t="s">
        <v>2456</v>
      </c>
      <c r="F16" s="162" t="n">
        <v>496</v>
      </c>
      <c r="G16" s="166" t="n">
        <v>2</v>
      </c>
      <c r="H16" s="286" t="n">
        <v>25773</v>
      </c>
      <c r="I16" s="287" t="n">
        <v>51.5</v>
      </c>
      <c r="J16" s="288" t="n">
        <v>85.9</v>
      </c>
      <c r="K16" s="289" t="n">
        <v>0.973</v>
      </c>
      <c r="L16" s="290" t="n">
        <v>13</v>
      </c>
      <c r="M16" s="161" t="n">
        <v>36.9</v>
      </c>
      <c r="N16" s="291" t="s">
        <v>2453</v>
      </c>
      <c r="O16" s="289" t="n">
        <v>4.512</v>
      </c>
      <c r="P16" s="289" t="n">
        <v>0.973</v>
      </c>
      <c r="Q16" s="163" t="n">
        <v>3.54</v>
      </c>
    </row>
    <row r="17" customFormat="false" ht="18" hidden="false" customHeight="true" outlineLevel="0" collapsed="false">
      <c r="A17" s="191" t="n">
        <v>11</v>
      </c>
      <c r="B17" s="193" t="s">
        <v>2466</v>
      </c>
      <c r="C17" s="193" t="s">
        <v>2467</v>
      </c>
      <c r="D17" s="193" t="s">
        <v>2461</v>
      </c>
      <c r="E17" s="193" t="s">
        <v>2468</v>
      </c>
      <c r="F17" s="133" t="n">
        <v>1302</v>
      </c>
      <c r="G17" s="193" t="n">
        <v>5.2</v>
      </c>
      <c r="H17" s="268" t="n">
        <v>24156</v>
      </c>
      <c r="I17" s="269" t="n">
        <v>48.3</v>
      </c>
      <c r="J17" s="270" t="n">
        <v>80.5</v>
      </c>
      <c r="K17" s="271" t="n">
        <v>1.144</v>
      </c>
      <c r="L17" s="272" t="n">
        <v>19</v>
      </c>
      <c r="M17" s="132" t="n">
        <v>26.1</v>
      </c>
      <c r="N17" s="273" t="s">
        <v>2450</v>
      </c>
      <c r="O17" s="271" t="n">
        <v>1.351</v>
      </c>
      <c r="P17" s="271" t="n">
        <v>1.144</v>
      </c>
      <c r="Q17" s="134" t="n">
        <v>0.21</v>
      </c>
    </row>
    <row r="18" customFormat="false" ht="18" hidden="false" customHeight="true" outlineLevel="0" collapsed="false">
      <c r="A18" s="285" t="n">
        <v>12</v>
      </c>
      <c r="B18" s="166" t="s">
        <v>2469</v>
      </c>
      <c r="C18" s="166" t="s">
        <v>2458</v>
      </c>
      <c r="D18" s="166" t="s">
        <v>2461</v>
      </c>
      <c r="E18" s="166" t="s">
        <v>2449</v>
      </c>
      <c r="F18" s="162" t="n">
        <v>754</v>
      </c>
      <c r="G18" s="166" t="n">
        <v>3</v>
      </c>
      <c r="H18" s="286" t="n">
        <v>26504</v>
      </c>
      <c r="I18" s="287" t="n">
        <v>53</v>
      </c>
      <c r="J18" s="288" t="n">
        <v>88.3</v>
      </c>
      <c r="K18" s="289" t="n">
        <v>0.769</v>
      </c>
      <c r="L18" s="290" t="n">
        <v>7</v>
      </c>
      <c r="M18" s="161" t="n">
        <v>58.1</v>
      </c>
      <c r="N18" s="291" t="s">
        <v>2453</v>
      </c>
      <c r="O18" s="289" t="n">
        <v>3.022</v>
      </c>
      <c r="P18" s="289" t="n">
        <v>0.769</v>
      </c>
      <c r="Q18" s="163" t="n">
        <v>2.25</v>
      </c>
    </row>
    <row r="19" customFormat="false" ht="18" hidden="false" customHeight="true" outlineLevel="0" collapsed="false">
      <c r="A19" s="274" t="n">
        <v>13</v>
      </c>
      <c r="B19" s="275" t="s">
        <v>2470</v>
      </c>
      <c r="C19" s="275" t="s">
        <v>2458</v>
      </c>
      <c r="D19" s="275" t="s">
        <v>2461</v>
      </c>
      <c r="E19" s="275" t="s">
        <v>2449</v>
      </c>
      <c r="F19" s="276" t="n">
        <v>739</v>
      </c>
      <c r="G19" s="275" t="n">
        <v>2.9</v>
      </c>
      <c r="H19" s="277" t="n">
        <v>24558</v>
      </c>
      <c r="I19" s="278" t="n">
        <v>49.1</v>
      </c>
      <c r="J19" s="279" t="n">
        <v>81.9</v>
      </c>
      <c r="K19" s="280" t="n">
        <v>0.915</v>
      </c>
      <c r="L19" s="281" t="n">
        <v>6</v>
      </c>
      <c r="M19" s="282" t="n">
        <v>62</v>
      </c>
      <c r="N19" s="283" t="s">
        <v>2453</v>
      </c>
      <c r="O19" s="280" t="n">
        <v>7.146</v>
      </c>
      <c r="P19" s="280" t="n">
        <v>0.915</v>
      </c>
      <c r="Q19" s="284" t="n">
        <v>6.23</v>
      </c>
    </row>
    <row r="20" customFormat="false" ht="18" hidden="false" customHeight="true" outlineLevel="0" collapsed="false">
      <c r="A20" s="191" t="n">
        <v>14</v>
      </c>
      <c r="B20" s="193" t="s">
        <v>2471</v>
      </c>
      <c r="C20" s="193" t="s">
        <v>2467</v>
      </c>
      <c r="D20" s="193" t="s">
        <v>2461</v>
      </c>
      <c r="E20" s="193" t="s">
        <v>2468</v>
      </c>
      <c r="F20" s="133" t="n">
        <v>1152</v>
      </c>
      <c r="G20" s="193" t="n">
        <v>4.6</v>
      </c>
      <c r="H20" s="268" t="n">
        <v>23041</v>
      </c>
      <c r="I20" s="269" t="n">
        <v>46.1</v>
      </c>
      <c r="J20" s="270" t="n">
        <v>76.8</v>
      </c>
      <c r="K20" s="271" t="n">
        <v>0.826</v>
      </c>
      <c r="L20" s="272" t="n">
        <v>14</v>
      </c>
      <c r="M20" s="132" t="n">
        <v>28.9</v>
      </c>
      <c r="N20" s="273" t="s">
        <v>2450</v>
      </c>
      <c r="O20" s="271" t="n">
        <v>1.131</v>
      </c>
      <c r="P20" s="271" t="n">
        <v>0.826</v>
      </c>
      <c r="Q20" s="134" t="n">
        <v>0.31</v>
      </c>
    </row>
    <row r="21" customFormat="false" ht="21.75" hidden="false" customHeight="true" outlineLevel="0" collapsed="false">
      <c r="A21" s="191" t="n">
        <v>15</v>
      </c>
      <c r="B21" s="193" t="s">
        <v>2472</v>
      </c>
      <c r="C21" s="193" t="s">
        <v>2447</v>
      </c>
      <c r="D21" s="193" t="s">
        <v>1862</v>
      </c>
      <c r="E21" s="193" t="s">
        <v>2456</v>
      </c>
      <c r="F21" s="133" t="n">
        <v>900</v>
      </c>
      <c r="G21" s="193" t="n">
        <v>3.6</v>
      </c>
      <c r="H21" s="268" t="n">
        <v>21714</v>
      </c>
      <c r="I21" s="269" t="n">
        <v>43.4</v>
      </c>
      <c r="J21" s="270" t="n">
        <v>72.4</v>
      </c>
      <c r="K21" s="271" t="n">
        <v>0.703</v>
      </c>
      <c r="L21" s="272" t="n">
        <v>14</v>
      </c>
      <c r="M21" s="132" t="n">
        <v>37.5</v>
      </c>
      <c r="N21" s="273" t="s">
        <v>2450</v>
      </c>
      <c r="O21" s="271" t="n">
        <v>1.586</v>
      </c>
      <c r="P21" s="271" t="n">
        <v>0.703</v>
      </c>
      <c r="Q21" s="134" t="n">
        <v>0.88</v>
      </c>
    </row>
    <row r="22" customFormat="false" ht="18" hidden="false" customHeight="true" outlineLevel="0" collapsed="false">
      <c r="A22" s="285" t="n">
        <v>16</v>
      </c>
      <c r="B22" s="166" t="s">
        <v>2473</v>
      </c>
      <c r="C22" s="166" t="s">
        <v>2458</v>
      </c>
      <c r="D22" s="166" t="s">
        <v>1862</v>
      </c>
      <c r="E22" s="166" t="s">
        <v>2459</v>
      </c>
      <c r="F22" s="162" t="n">
        <v>628</v>
      </c>
      <c r="G22" s="166" t="n">
        <v>2.5</v>
      </c>
      <c r="H22" s="286" t="n">
        <v>19265</v>
      </c>
      <c r="I22" s="287" t="n">
        <v>38.5</v>
      </c>
      <c r="J22" s="288" t="n">
        <v>64.2</v>
      </c>
      <c r="K22" s="289" t="n">
        <v>0.824</v>
      </c>
      <c r="L22" s="290" t="n">
        <v>12</v>
      </c>
      <c r="M22" s="161" t="n">
        <v>33.3</v>
      </c>
      <c r="N22" s="291" t="s">
        <v>2453</v>
      </c>
      <c r="O22" s="289" t="n">
        <v>2.739</v>
      </c>
      <c r="P22" s="289" t="n">
        <v>0.824</v>
      </c>
      <c r="Q22" s="163" t="n">
        <v>1.92</v>
      </c>
    </row>
    <row r="23" customFormat="false" ht="21.75" hidden="false" customHeight="true" outlineLevel="0" collapsed="false">
      <c r="A23" s="274" t="n">
        <v>17</v>
      </c>
      <c r="B23" s="275" t="s">
        <v>2474</v>
      </c>
      <c r="C23" s="275" t="s">
        <v>2447</v>
      </c>
      <c r="D23" s="275" t="s">
        <v>2461</v>
      </c>
      <c r="E23" s="275" t="s">
        <v>2449</v>
      </c>
      <c r="F23" s="276" t="n">
        <v>414</v>
      </c>
      <c r="G23" s="275" t="n">
        <v>1.6</v>
      </c>
      <c r="H23" s="277" t="n">
        <v>19230</v>
      </c>
      <c r="I23" s="278" t="n">
        <v>38.5</v>
      </c>
      <c r="J23" s="279" t="n">
        <v>64.1</v>
      </c>
      <c r="K23" s="280" t="n">
        <v>0.73</v>
      </c>
      <c r="L23" s="281" t="n">
        <v>7</v>
      </c>
      <c r="M23" s="282" t="n">
        <v>44</v>
      </c>
      <c r="N23" s="283" t="s">
        <v>2453</v>
      </c>
      <c r="O23" s="280" t="n">
        <v>4.718</v>
      </c>
      <c r="P23" s="280" t="n">
        <v>0.73</v>
      </c>
      <c r="Q23" s="284" t="n">
        <v>3.99</v>
      </c>
    </row>
    <row r="24" customFormat="false" ht="18" hidden="false" customHeight="true" outlineLevel="0" collapsed="false">
      <c r="A24" s="191" t="n">
        <v>18</v>
      </c>
      <c r="B24" s="193" t="s">
        <v>2475</v>
      </c>
      <c r="C24" s="193" t="s">
        <v>2458</v>
      </c>
      <c r="D24" s="193" t="s">
        <v>2461</v>
      </c>
      <c r="E24" s="193" t="s">
        <v>2456</v>
      </c>
      <c r="F24" s="133" t="n">
        <v>1130</v>
      </c>
      <c r="G24" s="193" t="n">
        <v>4.5</v>
      </c>
      <c r="H24" s="268" t="n">
        <v>18100</v>
      </c>
      <c r="I24" s="269" t="n">
        <v>36.2</v>
      </c>
      <c r="J24" s="270" t="n">
        <v>60.3</v>
      </c>
      <c r="K24" s="271" t="n">
        <v>0.798</v>
      </c>
      <c r="L24" s="272" t="n">
        <v>15</v>
      </c>
      <c r="M24" s="132" t="n">
        <v>45.8</v>
      </c>
      <c r="N24" s="273" t="s">
        <v>2450</v>
      </c>
      <c r="O24" s="271" t="n">
        <v>1.93</v>
      </c>
      <c r="P24" s="271" t="n">
        <v>0.798</v>
      </c>
      <c r="Q24" s="134" t="n">
        <v>1.13</v>
      </c>
    </row>
    <row r="25" customFormat="false" ht="18" hidden="false" customHeight="true" outlineLevel="0" collapsed="false">
      <c r="A25" s="191" t="n">
        <v>19</v>
      </c>
      <c r="B25" s="193" t="s">
        <v>2476</v>
      </c>
      <c r="C25" s="193" t="s">
        <v>2458</v>
      </c>
      <c r="D25" s="193" t="s">
        <v>2461</v>
      </c>
      <c r="E25" s="193" t="s">
        <v>2449</v>
      </c>
      <c r="F25" s="133" t="n">
        <v>1344</v>
      </c>
      <c r="G25" s="193" t="n">
        <v>5.3</v>
      </c>
      <c r="H25" s="268" t="n">
        <v>17366</v>
      </c>
      <c r="I25" s="269" t="n">
        <v>34.7</v>
      </c>
      <c r="J25" s="270" t="n">
        <v>57.9</v>
      </c>
      <c r="K25" s="271" t="n">
        <v>0.663</v>
      </c>
      <c r="L25" s="272" t="n">
        <v>21</v>
      </c>
      <c r="M25" s="132" t="n">
        <v>26</v>
      </c>
      <c r="N25" s="273" t="s">
        <v>2450</v>
      </c>
      <c r="O25" s="271" t="n">
        <v>0.954</v>
      </c>
      <c r="P25" s="271" t="n">
        <v>0.663</v>
      </c>
      <c r="Q25" s="134" t="n">
        <v>0.29</v>
      </c>
    </row>
    <row r="26" customFormat="false" ht="21.75" hidden="false" customHeight="true" outlineLevel="0" collapsed="false">
      <c r="A26" s="285" t="n">
        <v>20</v>
      </c>
      <c r="B26" s="166" t="s">
        <v>2477</v>
      </c>
      <c r="C26" s="166" t="s">
        <v>2455</v>
      </c>
      <c r="D26" s="166" t="s">
        <v>1862</v>
      </c>
      <c r="E26" s="166" t="s">
        <v>2468</v>
      </c>
      <c r="F26" s="162" t="n">
        <v>604</v>
      </c>
      <c r="G26" s="166" t="n">
        <v>2.4</v>
      </c>
      <c r="H26" s="286" t="n">
        <v>15166</v>
      </c>
      <c r="I26" s="287" t="n">
        <v>30.3</v>
      </c>
      <c r="J26" s="288" t="n">
        <v>50.6</v>
      </c>
      <c r="K26" s="289" t="n">
        <v>0.567</v>
      </c>
      <c r="L26" s="290" t="n">
        <v>10</v>
      </c>
      <c r="M26" s="161" t="n">
        <v>38.9</v>
      </c>
      <c r="N26" s="291" t="s">
        <v>2453</v>
      </c>
      <c r="O26" s="289" t="n">
        <v>2.893</v>
      </c>
      <c r="P26" s="289" t="n">
        <v>0.567</v>
      </c>
      <c r="Q26" s="163" t="n">
        <v>2.33</v>
      </c>
    </row>
    <row r="27" customFormat="false" ht="18" hidden="false" customHeight="true" outlineLevel="0" collapsed="false">
      <c r="A27" s="274" t="n">
        <v>21</v>
      </c>
      <c r="B27" s="275" t="s">
        <v>2478</v>
      </c>
      <c r="C27" s="275" t="s">
        <v>2458</v>
      </c>
      <c r="D27" s="275" t="s">
        <v>2461</v>
      </c>
      <c r="E27" s="275" t="s">
        <v>2459</v>
      </c>
      <c r="F27" s="276" t="n">
        <v>1188</v>
      </c>
      <c r="G27" s="275" t="n">
        <v>4.7</v>
      </c>
      <c r="H27" s="277" t="n">
        <v>14446</v>
      </c>
      <c r="I27" s="278" t="n">
        <v>28.9</v>
      </c>
      <c r="J27" s="279" t="n">
        <v>48.2</v>
      </c>
      <c r="K27" s="280" t="n">
        <v>0.634</v>
      </c>
      <c r="L27" s="281" t="n">
        <v>14</v>
      </c>
      <c r="M27" s="282" t="n">
        <v>46.1</v>
      </c>
      <c r="N27" s="283" t="s">
        <v>2453</v>
      </c>
      <c r="O27" s="280" t="n">
        <v>3.711</v>
      </c>
      <c r="P27" s="280" t="n">
        <v>0.634</v>
      </c>
      <c r="Q27" s="284" t="n">
        <v>3.08</v>
      </c>
    </row>
    <row r="28" customFormat="false" ht="18" hidden="false" customHeight="true" outlineLevel="0" collapsed="false">
      <c r="A28" s="191" t="n">
        <v>22</v>
      </c>
      <c r="B28" s="193" t="s">
        <v>2479</v>
      </c>
      <c r="C28" s="193" t="s">
        <v>2458</v>
      </c>
      <c r="D28" s="193" t="s">
        <v>2448</v>
      </c>
      <c r="E28" s="193" t="s">
        <v>2468</v>
      </c>
      <c r="F28" s="133" t="n">
        <v>815</v>
      </c>
      <c r="G28" s="193" t="n">
        <v>3.2</v>
      </c>
      <c r="H28" s="268" t="n">
        <v>13785</v>
      </c>
      <c r="I28" s="269" t="n">
        <v>27.6</v>
      </c>
      <c r="J28" s="270" t="n">
        <v>46</v>
      </c>
      <c r="K28" s="271" t="n">
        <v>0.507</v>
      </c>
      <c r="L28" s="272" t="n">
        <v>9</v>
      </c>
      <c r="M28" s="132" t="n">
        <v>26.8</v>
      </c>
      <c r="N28" s="273" t="s">
        <v>2450</v>
      </c>
      <c r="O28" s="271" t="n">
        <v>0.947</v>
      </c>
      <c r="P28" s="271" t="n">
        <v>0.507</v>
      </c>
      <c r="Q28" s="134" t="n">
        <v>0.44</v>
      </c>
    </row>
    <row r="29" customFormat="false" ht="18" hidden="false" customHeight="true" outlineLevel="0" collapsed="false">
      <c r="A29" s="191" t="n">
        <v>23</v>
      </c>
      <c r="B29" s="193" t="s">
        <v>2480</v>
      </c>
      <c r="C29" s="193" t="s">
        <v>2458</v>
      </c>
      <c r="D29" s="193" t="s">
        <v>1839</v>
      </c>
      <c r="E29" s="193" t="s">
        <v>2449</v>
      </c>
      <c r="F29" s="133" t="n">
        <v>160</v>
      </c>
      <c r="G29" s="193" t="n">
        <v>0.6</v>
      </c>
      <c r="H29" s="268" t="n">
        <v>10826</v>
      </c>
      <c r="I29" s="269" t="n">
        <v>21.7</v>
      </c>
      <c r="J29" s="270" t="n">
        <v>36.1</v>
      </c>
      <c r="K29" s="271" t="n">
        <v>0.556</v>
      </c>
      <c r="L29" s="272" t="n">
        <v>10</v>
      </c>
      <c r="M29" s="132" t="n">
        <v>10.4</v>
      </c>
      <c r="N29" s="273" t="s">
        <v>2450</v>
      </c>
      <c r="O29" s="271" t="n">
        <v>1.886</v>
      </c>
      <c r="P29" s="271" t="n">
        <v>0.556</v>
      </c>
      <c r="Q29" s="134" t="n">
        <v>1.33</v>
      </c>
    </row>
    <row r="30" customFormat="false" ht="18" hidden="false" customHeight="true" outlineLevel="0" collapsed="false">
      <c r="A30" s="285" t="n">
        <v>24</v>
      </c>
      <c r="B30" s="166" t="s">
        <v>2481</v>
      </c>
      <c r="C30" s="166" t="s">
        <v>2458</v>
      </c>
      <c r="D30" s="166" t="s">
        <v>1839</v>
      </c>
      <c r="E30" s="166" t="s">
        <v>2449</v>
      </c>
      <c r="F30" s="162" t="n">
        <v>158</v>
      </c>
      <c r="G30" s="166" t="n">
        <v>0.6</v>
      </c>
      <c r="H30" s="286" t="n">
        <v>10936</v>
      </c>
      <c r="I30" s="287" t="n">
        <v>21.9</v>
      </c>
      <c r="J30" s="288" t="n">
        <v>36.5</v>
      </c>
      <c r="K30" s="289" t="n">
        <v>0.509</v>
      </c>
      <c r="L30" s="290" t="n">
        <v>8</v>
      </c>
      <c r="M30" s="161" t="n">
        <v>24</v>
      </c>
      <c r="N30" s="291" t="s">
        <v>2453</v>
      </c>
      <c r="O30" s="289" t="n">
        <v>3.969</v>
      </c>
      <c r="P30" s="289" t="n">
        <v>0.509</v>
      </c>
      <c r="Q30" s="163" t="n">
        <v>3.46</v>
      </c>
    </row>
    <row r="31" customFormat="false" ht="18" hidden="false" customHeight="true" outlineLevel="0" collapsed="false">
      <c r="A31" s="274" t="n">
        <v>25</v>
      </c>
      <c r="B31" s="275" t="s">
        <v>2482</v>
      </c>
      <c r="C31" s="275" t="s">
        <v>2458</v>
      </c>
      <c r="D31" s="275" t="s">
        <v>2461</v>
      </c>
      <c r="E31" s="275" t="s">
        <v>2456</v>
      </c>
      <c r="F31" s="276" t="n">
        <v>862</v>
      </c>
      <c r="G31" s="275" t="n">
        <v>3.4</v>
      </c>
      <c r="H31" s="277" t="n">
        <v>11432</v>
      </c>
      <c r="I31" s="278" t="n">
        <v>22.9</v>
      </c>
      <c r="J31" s="279" t="n">
        <v>38.1</v>
      </c>
      <c r="K31" s="280" t="n">
        <v>0.338</v>
      </c>
      <c r="L31" s="281" t="n">
        <v>10</v>
      </c>
      <c r="M31" s="282" t="n">
        <v>49.1</v>
      </c>
      <c r="N31" s="283" t="s">
        <v>2453</v>
      </c>
      <c r="O31" s="280" t="n">
        <v>3.181</v>
      </c>
      <c r="P31" s="280" t="n">
        <v>0.338</v>
      </c>
      <c r="Q31" s="284" t="n">
        <v>2.84</v>
      </c>
    </row>
    <row r="32" customFormat="false" ht="18" hidden="false" customHeight="true" outlineLevel="0" collapsed="false">
      <c r="A32" s="191" t="n">
        <v>26</v>
      </c>
      <c r="B32" s="193" t="s">
        <v>2483</v>
      </c>
      <c r="C32" s="193" t="s">
        <v>2467</v>
      </c>
      <c r="D32" s="193" t="s">
        <v>2448</v>
      </c>
      <c r="E32" s="193" t="s">
        <v>2449</v>
      </c>
      <c r="F32" s="133" t="n">
        <v>82</v>
      </c>
      <c r="G32" s="193" t="n">
        <v>0.3</v>
      </c>
      <c r="H32" s="268" t="n">
        <v>8724</v>
      </c>
      <c r="I32" s="269" t="n">
        <v>17.4</v>
      </c>
      <c r="J32" s="270" t="n">
        <v>29.1</v>
      </c>
      <c r="K32" s="271" t="n">
        <v>0.364</v>
      </c>
      <c r="L32" s="272" t="n">
        <v>12</v>
      </c>
      <c r="M32" s="132" t="n">
        <v>18.4</v>
      </c>
      <c r="N32" s="273" t="s">
        <v>2450</v>
      </c>
      <c r="O32" s="271" t="n">
        <v>0.894</v>
      </c>
      <c r="P32" s="271" t="n">
        <v>0.364</v>
      </c>
      <c r="Q32" s="134" t="n">
        <v>0.53</v>
      </c>
    </row>
    <row r="33" customFormat="false" ht="18" hidden="false" customHeight="true" outlineLevel="0" collapsed="false">
      <c r="A33" s="191" t="n">
        <v>27</v>
      </c>
      <c r="B33" s="193" t="s">
        <v>2484</v>
      </c>
      <c r="C33" s="193" t="s">
        <v>2467</v>
      </c>
      <c r="D33" s="193" t="s">
        <v>2461</v>
      </c>
      <c r="E33" s="193" t="s">
        <v>2449</v>
      </c>
      <c r="F33" s="133" t="n">
        <v>1304</v>
      </c>
      <c r="G33" s="193" t="n">
        <v>5.2</v>
      </c>
      <c r="H33" s="268" t="n">
        <v>7834</v>
      </c>
      <c r="I33" s="269" t="n">
        <v>15.7</v>
      </c>
      <c r="J33" s="270" t="n">
        <v>26.1</v>
      </c>
      <c r="K33" s="271" t="n">
        <v>0.388</v>
      </c>
      <c r="L33" s="272" t="n">
        <v>19</v>
      </c>
      <c r="M33" s="132" t="n">
        <v>31.4</v>
      </c>
      <c r="N33" s="273" t="s">
        <v>2450</v>
      </c>
      <c r="O33" s="271" t="n">
        <v>1.303</v>
      </c>
      <c r="P33" s="271" t="n">
        <v>0.388</v>
      </c>
      <c r="Q33" s="134" t="n">
        <v>0.91</v>
      </c>
    </row>
    <row r="34" customFormat="false" ht="18" hidden="false" customHeight="true" outlineLevel="0" collapsed="false">
      <c r="A34" s="285" t="n">
        <v>28</v>
      </c>
      <c r="B34" s="166" t="s">
        <v>2485</v>
      </c>
      <c r="C34" s="166" t="s">
        <v>2467</v>
      </c>
      <c r="D34" s="166" t="s">
        <v>2461</v>
      </c>
      <c r="E34" s="166" t="s">
        <v>2449</v>
      </c>
      <c r="F34" s="162" t="n">
        <v>1320</v>
      </c>
      <c r="G34" s="166" t="n">
        <v>5.2</v>
      </c>
      <c r="H34" s="286" t="n">
        <v>7502</v>
      </c>
      <c r="I34" s="287" t="n">
        <v>15</v>
      </c>
      <c r="J34" s="288" t="n">
        <v>25</v>
      </c>
      <c r="K34" s="289" t="n">
        <v>0.366</v>
      </c>
      <c r="L34" s="290" t="n">
        <v>19</v>
      </c>
      <c r="M34" s="161" t="n">
        <v>35.5</v>
      </c>
      <c r="N34" s="291" t="s">
        <v>2453</v>
      </c>
      <c r="O34" s="289" t="n">
        <v>1.995</v>
      </c>
      <c r="P34" s="289" t="n">
        <v>0.366</v>
      </c>
      <c r="Q34" s="163" t="n">
        <v>1.63</v>
      </c>
    </row>
    <row r="35" customFormat="false" ht="21.75" hidden="false" customHeight="true" outlineLevel="0" collapsed="false">
      <c r="A35" s="274" t="n">
        <v>29</v>
      </c>
      <c r="B35" s="275" t="s">
        <v>2486</v>
      </c>
      <c r="C35" s="275" t="s">
        <v>2455</v>
      </c>
      <c r="D35" s="275" t="s">
        <v>2448</v>
      </c>
      <c r="E35" s="275" t="s">
        <v>2449</v>
      </c>
      <c r="F35" s="276" t="n">
        <v>857</v>
      </c>
      <c r="G35" s="275" t="n">
        <v>3.4</v>
      </c>
      <c r="H35" s="277" t="n">
        <v>5982</v>
      </c>
      <c r="I35" s="278" t="n">
        <v>12</v>
      </c>
      <c r="J35" s="279" t="n">
        <v>19.9</v>
      </c>
      <c r="K35" s="280" t="n">
        <v>0.301</v>
      </c>
      <c r="L35" s="281" t="n">
        <v>17</v>
      </c>
      <c r="M35" s="282" t="n">
        <v>36</v>
      </c>
      <c r="N35" s="283" t="s">
        <v>2453</v>
      </c>
      <c r="O35" s="280" t="n">
        <v>1.847</v>
      </c>
      <c r="P35" s="280" t="n">
        <v>0.301</v>
      </c>
      <c r="Q35" s="284" t="n">
        <v>1.55</v>
      </c>
    </row>
    <row r="36" customFormat="false" ht="18" hidden="false" customHeight="true" outlineLevel="0" collapsed="false">
      <c r="A36" s="285" t="n">
        <v>30</v>
      </c>
      <c r="B36" s="166" t="s">
        <v>2487</v>
      </c>
      <c r="C36" s="166" t="s">
        <v>2458</v>
      </c>
      <c r="D36" s="166" t="s">
        <v>1839</v>
      </c>
      <c r="E36" s="166" t="s">
        <v>2449</v>
      </c>
      <c r="F36" s="162" t="n">
        <v>156</v>
      </c>
      <c r="G36" s="166" t="n">
        <v>0.6</v>
      </c>
      <c r="H36" s="286" t="n">
        <v>4954</v>
      </c>
      <c r="I36" s="287" t="n">
        <v>9.9</v>
      </c>
      <c r="J36" s="288" t="n">
        <v>16.5</v>
      </c>
      <c r="K36" s="289" t="n">
        <v>0.164</v>
      </c>
      <c r="L36" s="290" t="n">
        <v>8</v>
      </c>
      <c r="M36" s="161" t="n">
        <v>16.3</v>
      </c>
      <c r="N36" s="291" t="s">
        <v>2453</v>
      </c>
      <c r="O36" s="289" t="n">
        <v>1.99</v>
      </c>
      <c r="P36" s="289" t="n">
        <v>0.164</v>
      </c>
      <c r="Q36" s="163" t="n">
        <v>1.83</v>
      </c>
    </row>
    <row r="37" customFormat="false" ht="18" hidden="false" customHeight="true" outlineLevel="0" collapsed="false">
      <c r="A37" s="191" t="n">
        <v>31</v>
      </c>
      <c r="B37" s="193" t="s">
        <v>2488</v>
      </c>
      <c r="C37" s="193" t="s">
        <v>2458</v>
      </c>
      <c r="D37" s="193" t="s">
        <v>2461</v>
      </c>
      <c r="E37" s="193" t="s">
        <v>2449</v>
      </c>
      <c r="F37" s="133" t="n">
        <v>1064</v>
      </c>
      <c r="G37" s="193" t="n">
        <v>4.2</v>
      </c>
      <c r="H37" s="268" t="n">
        <v>4592</v>
      </c>
      <c r="I37" s="269" t="n">
        <v>9.2</v>
      </c>
      <c r="J37" s="270" t="n">
        <v>15.3</v>
      </c>
      <c r="K37" s="271" t="n">
        <v>0.354</v>
      </c>
      <c r="L37" s="272" t="n">
        <v>11</v>
      </c>
      <c r="M37" s="132" t="n">
        <v>51.2</v>
      </c>
      <c r="N37" s="273" t="s">
        <v>2450</v>
      </c>
      <c r="O37" s="271" t="n">
        <v>0.929</v>
      </c>
      <c r="P37" s="271" t="n">
        <v>0.354</v>
      </c>
      <c r="Q37" s="134" t="n">
        <v>0.58</v>
      </c>
    </row>
    <row r="38" customFormat="false" ht="18" hidden="false" customHeight="true" outlineLevel="0" collapsed="false">
      <c r="A38" s="285" t="n">
        <v>32</v>
      </c>
      <c r="B38" s="166" t="s">
        <v>2489</v>
      </c>
      <c r="C38" s="166" t="s">
        <v>2467</v>
      </c>
      <c r="D38" s="166" t="s">
        <v>2461</v>
      </c>
      <c r="E38" s="166" t="s">
        <v>2468</v>
      </c>
      <c r="F38" s="162" t="n">
        <v>420</v>
      </c>
      <c r="G38" s="166" t="n">
        <v>1.7</v>
      </c>
      <c r="H38" s="286" t="n">
        <v>2086</v>
      </c>
      <c r="I38" s="287" t="n">
        <v>4.2</v>
      </c>
      <c r="J38" s="288" t="n">
        <v>7</v>
      </c>
      <c r="K38" s="289" t="n">
        <v>-0.01</v>
      </c>
      <c r="L38" s="290" t="n">
        <v>17</v>
      </c>
      <c r="M38" s="161" t="n">
        <v>19.8</v>
      </c>
      <c r="N38" s="291" t="s">
        <v>2453</v>
      </c>
      <c r="O38" s="289" t="n">
        <v>3.251</v>
      </c>
      <c r="P38" s="289" t="n">
        <v>-0.01</v>
      </c>
      <c r="Q38" s="163" t="n">
        <v>3.26</v>
      </c>
    </row>
    <row r="39" customFormat="false" ht="18" hidden="false" customHeight="true" outlineLevel="0" collapsed="false">
      <c r="A39" s="292" t="n">
        <v>33</v>
      </c>
      <c r="B39" s="293" t="s">
        <v>2490</v>
      </c>
      <c r="C39" s="293" t="s">
        <v>2467</v>
      </c>
      <c r="D39" s="293" t="s">
        <v>2461</v>
      </c>
      <c r="E39" s="293" t="s">
        <v>2456</v>
      </c>
      <c r="F39" s="294" t="n">
        <v>1346</v>
      </c>
      <c r="G39" s="293" t="n">
        <v>5.3</v>
      </c>
      <c r="H39" s="295" t="n">
        <v>-2324</v>
      </c>
      <c r="I39" s="296" t="n">
        <v>-4.6</v>
      </c>
      <c r="J39" s="297" t="n">
        <v>-7.7</v>
      </c>
      <c r="K39" s="298" t="n">
        <v>0.184</v>
      </c>
      <c r="L39" s="299" t="n">
        <v>22</v>
      </c>
      <c r="M39" s="300" t="n">
        <v>46.7</v>
      </c>
      <c r="N39" s="301" t="s">
        <v>2453</v>
      </c>
      <c r="O39" s="298" t="n">
        <v>1.943</v>
      </c>
      <c r="P39" s="298" t="n">
        <v>0.184</v>
      </c>
      <c r="Q39" s="302" t="n">
        <v>1.76</v>
      </c>
    </row>
    <row r="40" customFormat="false" ht="18" hidden="false" customHeight="true" outlineLevel="0" collapsed="false">
      <c r="A40" s="292" t="n">
        <v>34</v>
      </c>
      <c r="B40" s="293" t="s">
        <v>2491</v>
      </c>
      <c r="C40" s="293" t="s">
        <v>2458</v>
      </c>
      <c r="D40" s="293" t="s">
        <v>1839</v>
      </c>
      <c r="E40" s="293" t="s">
        <v>2468</v>
      </c>
      <c r="F40" s="294" t="n">
        <v>182</v>
      </c>
      <c r="G40" s="293" t="n">
        <v>0.7</v>
      </c>
      <c r="H40" s="295" t="n">
        <v>-576</v>
      </c>
      <c r="I40" s="296" t="n">
        <v>-1.2</v>
      </c>
      <c r="J40" s="297" t="n">
        <v>-1.9</v>
      </c>
      <c r="K40" s="298" t="n">
        <v>-0.806</v>
      </c>
      <c r="L40" s="299" t="n">
        <v>12</v>
      </c>
      <c r="M40" s="300" t="n">
        <v>11</v>
      </c>
      <c r="N40" s="301" t="s">
        <v>2453</v>
      </c>
      <c r="O40" s="298" t="n">
        <v>1.588</v>
      </c>
      <c r="P40" s="298" t="n">
        <v>-0.806</v>
      </c>
      <c r="Q40" s="302" t="n">
        <v>2.39</v>
      </c>
    </row>
    <row r="41" customFormat="false" ht="18" hidden="false" customHeight="true" outlineLevel="0" collapsed="false">
      <c r="A41" s="292" t="n">
        <v>35</v>
      </c>
      <c r="B41" s="293" t="s">
        <v>2492</v>
      </c>
      <c r="C41" s="293" t="s">
        <v>2467</v>
      </c>
      <c r="D41" s="293" t="s">
        <v>2461</v>
      </c>
      <c r="E41" s="293" t="s">
        <v>2456</v>
      </c>
      <c r="F41" s="294" t="n">
        <v>1348</v>
      </c>
      <c r="G41" s="293" t="n">
        <v>5.3</v>
      </c>
      <c r="H41" s="295" t="n">
        <v>-3298</v>
      </c>
      <c r="I41" s="296" t="n">
        <v>-6.6</v>
      </c>
      <c r="J41" s="297" t="n">
        <v>-11</v>
      </c>
      <c r="K41" s="298" t="n">
        <v>0.073</v>
      </c>
      <c r="L41" s="299" t="n">
        <v>22</v>
      </c>
      <c r="M41" s="300" t="n">
        <v>39.8</v>
      </c>
      <c r="N41" s="301" t="s">
        <v>2453</v>
      </c>
      <c r="O41" s="298" t="n">
        <v>1.836</v>
      </c>
      <c r="P41" s="298" t="n">
        <v>0.073</v>
      </c>
      <c r="Q41" s="302" t="n">
        <v>1.76</v>
      </c>
    </row>
    <row r="42" customFormat="false" ht="21.75" hidden="false" customHeight="true" outlineLevel="0" collapsed="false">
      <c r="A42" s="292" t="n">
        <v>36</v>
      </c>
      <c r="B42" s="293" t="s">
        <v>2493</v>
      </c>
      <c r="C42" s="293" t="s">
        <v>2447</v>
      </c>
      <c r="D42" s="293" t="s">
        <v>2448</v>
      </c>
      <c r="E42" s="293" t="s">
        <v>2456</v>
      </c>
      <c r="F42" s="294" t="n">
        <v>813</v>
      </c>
      <c r="G42" s="293" t="n">
        <v>3.2</v>
      </c>
      <c r="H42" s="295" t="n">
        <v>-4116</v>
      </c>
      <c r="I42" s="296" t="n">
        <v>-8.2</v>
      </c>
      <c r="J42" s="297" t="n">
        <v>-13.7</v>
      </c>
      <c r="K42" s="298" t="n">
        <v>-0.133</v>
      </c>
      <c r="L42" s="299" t="n">
        <v>16</v>
      </c>
      <c r="M42" s="300" t="n">
        <v>56</v>
      </c>
      <c r="N42" s="301" t="s">
        <v>2453</v>
      </c>
      <c r="O42" s="298" t="n">
        <v>1.905</v>
      </c>
      <c r="P42" s="298" t="n">
        <v>-0.133</v>
      </c>
      <c r="Q42" s="302" t="n">
        <v>2.04</v>
      </c>
    </row>
    <row r="43" customFormat="false" ht="21.75" hidden="false" customHeight="true" outlineLevel="0" collapsed="false">
      <c r="A43" s="292" t="n">
        <v>37</v>
      </c>
      <c r="B43" s="293" t="s">
        <v>2494</v>
      </c>
      <c r="C43" s="293" t="s">
        <v>2447</v>
      </c>
      <c r="D43" s="293" t="s">
        <v>2448</v>
      </c>
      <c r="E43" s="293" t="s">
        <v>2459</v>
      </c>
      <c r="F43" s="294" t="n">
        <v>857</v>
      </c>
      <c r="G43" s="293" t="n">
        <v>3.4</v>
      </c>
      <c r="H43" s="295" t="n">
        <v>-4936</v>
      </c>
      <c r="I43" s="296" t="n">
        <v>-9.9</v>
      </c>
      <c r="J43" s="297" t="n">
        <v>-16.5</v>
      </c>
      <c r="K43" s="298" t="n">
        <v>-0.025</v>
      </c>
      <c r="L43" s="299" t="n">
        <v>16</v>
      </c>
      <c r="M43" s="300" t="n">
        <v>52.7</v>
      </c>
      <c r="N43" s="303" t="s">
        <v>2450</v>
      </c>
      <c r="O43" s="298" t="n">
        <v>0.998</v>
      </c>
      <c r="P43" s="298" t="n">
        <v>-0.025</v>
      </c>
      <c r="Q43" s="302" t="n">
        <v>1.02</v>
      </c>
    </row>
    <row r="44" customFormat="false" ht="18" hidden="false" customHeight="true" outlineLevel="0" collapsed="false">
      <c r="A44" s="292" t="n">
        <v>38</v>
      </c>
      <c r="B44" s="293" t="s">
        <v>2495</v>
      </c>
      <c r="C44" s="293" t="s">
        <v>2467</v>
      </c>
      <c r="D44" s="293" t="s">
        <v>2461</v>
      </c>
      <c r="E44" s="293" t="s">
        <v>2456</v>
      </c>
      <c r="F44" s="294" t="n">
        <v>1318</v>
      </c>
      <c r="G44" s="293" t="n">
        <v>5.2</v>
      </c>
      <c r="H44" s="295" t="n">
        <v>-6328</v>
      </c>
      <c r="I44" s="296" t="n">
        <v>-12.7</v>
      </c>
      <c r="J44" s="297" t="n">
        <v>-21.1</v>
      </c>
      <c r="K44" s="298" t="n">
        <v>0</v>
      </c>
      <c r="L44" s="299" t="n">
        <v>21</v>
      </c>
      <c r="M44" s="300" t="n">
        <v>46.6</v>
      </c>
      <c r="N44" s="301" t="s">
        <v>2453</v>
      </c>
      <c r="O44" s="298" t="n">
        <v>1.585</v>
      </c>
      <c r="P44" s="298" t="n">
        <v>0</v>
      </c>
      <c r="Q44" s="302" t="n">
        <v>1.58</v>
      </c>
    </row>
    <row r="45" customFormat="false" ht="18" hidden="false" customHeight="true" outlineLevel="0" collapsed="false">
      <c r="A45" s="292" t="n">
        <v>39</v>
      </c>
      <c r="B45" s="293" t="s">
        <v>2496</v>
      </c>
      <c r="C45" s="293" t="s">
        <v>2458</v>
      </c>
      <c r="D45" s="293" t="s">
        <v>1839</v>
      </c>
      <c r="E45" s="293" t="s">
        <v>2449</v>
      </c>
      <c r="F45" s="294" t="n">
        <v>180</v>
      </c>
      <c r="G45" s="293" t="n">
        <v>0.7</v>
      </c>
      <c r="H45" s="295" t="n">
        <v>-4557</v>
      </c>
      <c r="I45" s="296" t="n">
        <v>-9.1</v>
      </c>
      <c r="J45" s="297" t="n">
        <v>-15.2</v>
      </c>
      <c r="K45" s="298" t="n">
        <v>-1.102</v>
      </c>
      <c r="L45" s="299" t="n">
        <v>16</v>
      </c>
      <c r="M45" s="300" t="n">
        <v>20.1</v>
      </c>
      <c r="N45" s="301" t="s">
        <v>2453</v>
      </c>
      <c r="O45" s="298" t="n">
        <v>1.841</v>
      </c>
      <c r="P45" s="298" t="n">
        <v>-1.102</v>
      </c>
      <c r="Q45" s="302" t="n">
        <v>2.94</v>
      </c>
    </row>
    <row r="46" customFormat="false" ht="18" hidden="false" customHeight="true" outlineLevel="0" collapsed="false">
      <c r="A46" s="292" t="n">
        <v>40</v>
      </c>
      <c r="B46" s="293" t="s">
        <v>2497</v>
      </c>
      <c r="C46" s="293" t="s">
        <v>2458</v>
      </c>
      <c r="D46" s="293" t="s">
        <v>2461</v>
      </c>
      <c r="E46" s="293" t="s">
        <v>2456</v>
      </c>
      <c r="F46" s="294" t="n">
        <v>1154</v>
      </c>
      <c r="G46" s="293" t="n">
        <v>4.6</v>
      </c>
      <c r="H46" s="295" t="n">
        <v>-10436</v>
      </c>
      <c r="I46" s="296" t="n">
        <v>-20.9</v>
      </c>
      <c r="J46" s="297" t="n">
        <v>-34.8</v>
      </c>
      <c r="K46" s="298" t="n">
        <v>-0.215</v>
      </c>
      <c r="L46" s="299" t="n">
        <v>14</v>
      </c>
      <c r="M46" s="300" t="n">
        <v>69.9</v>
      </c>
      <c r="N46" s="301" t="s">
        <v>2453</v>
      </c>
      <c r="O46" s="298" t="n">
        <v>2.369</v>
      </c>
      <c r="P46" s="298" t="n">
        <v>-0.215</v>
      </c>
      <c r="Q46" s="302" t="n">
        <v>2.58</v>
      </c>
    </row>
    <row r="47" customFormat="false" ht="18" hidden="false" customHeight="true" outlineLevel="0" collapsed="false">
      <c r="A47" s="292" t="n">
        <v>41</v>
      </c>
      <c r="B47" s="293" t="s">
        <v>2498</v>
      </c>
      <c r="C47" s="293" t="s">
        <v>2458</v>
      </c>
      <c r="D47" s="293" t="s">
        <v>1839</v>
      </c>
      <c r="E47" s="293" t="s">
        <v>2468</v>
      </c>
      <c r="F47" s="294" t="n">
        <v>788</v>
      </c>
      <c r="G47" s="293" t="n">
        <v>3.1</v>
      </c>
      <c r="H47" s="295" t="n">
        <v>-10337</v>
      </c>
      <c r="I47" s="296" t="n">
        <v>-20.7</v>
      </c>
      <c r="J47" s="297" t="n">
        <v>-34.5</v>
      </c>
      <c r="K47" s="298" t="n">
        <v>-0.637</v>
      </c>
      <c r="L47" s="299" t="n">
        <v>7</v>
      </c>
      <c r="M47" s="300" t="n">
        <v>42.6</v>
      </c>
      <c r="N47" s="301" t="s">
        <v>2453</v>
      </c>
      <c r="O47" s="298" t="n">
        <v>1.622</v>
      </c>
      <c r="P47" s="298" t="n">
        <v>-0.637</v>
      </c>
      <c r="Q47" s="302" t="n">
        <v>2.26</v>
      </c>
    </row>
    <row r="48" customFormat="false" ht="21.75" hidden="false" customHeight="true" outlineLevel="0" collapsed="false">
      <c r="A48" s="292" t="n">
        <v>42</v>
      </c>
      <c r="B48" s="293" t="s">
        <v>2499</v>
      </c>
      <c r="C48" s="293" t="s">
        <v>2455</v>
      </c>
      <c r="D48" s="293" t="s">
        <v>2500</v>
      </c>
      <c r="E48" s="293" t="s">
        <v>2456</v>
      </c>
      <c r="F48" s="294" t="n">
        <v>776</v>
      </c>
      <c r="G48" s="293" t="n">
        <v>3.1</v>
      </c>
      <c r="H48" s="295" t="n">
        <v>-25841</v>
      </c>
      <c r="I48" s="296" t="n">
        <v>-51.7</v>
      </c>
      <c r="J48" s="297" t="n">
        <v>-86.1</v>
      </c>
      <c r="K48" s="298" t="n">
        <v>-0.441</v>
      </c>
      <c r="L48" s="299" t="n">
        <v>9</v>
      </c>
      <c r="M48" s="300" t="n">
        <v>61.1</v>
      </c>
      <c r="N48" s="301" t="s">
        <v>2453</v>
      </c>
      <c r="O48" s="298" t="n">
        <v>1.798</v>
      </c>
      <c r="P48" s="298" t="n">
        <v>-0.441</v>
      </c>
      <c r="Q48" s="302" t="n">
        <v>2.24</v>
      </c>
    </row>
    <row r="49" customFormat="false" ht="18" hidden="false" customHeight="true" outlineLevel="0" collapsed="false">
      <c r="A49" s="292" t="n">
        <v>43</v>
      </c>
      <c r="B49" s="293" t="s">
        <v>2501</v>
      </c>
      <c r="C49" s="293" t="s">
        <v>2458</v>
      </c>
      <c r="D49" s="293" t="s">
        <v>2461</v>
      </c>
      <c r="E49" s="293" t="s">
        <v>2449</v>
      </c>
      <c r="F49" s="294" t="n">
        <v>889</v>
      </c>
      <c r="G49" s="293" t="n">
        <v>3.5</v>
      </c>
      <c r="H49" s="295" t="n">
        <v>-26226</v>
      </c>
      <c r="I49" s="296" t="n">
        <v>-52.5</v>
      </c>
      <c r="J49" s="297" t="n">
        <v>-87.4</v>
      </c>
      <c r="K49" s="298" t="n">
        <v>-0.614</v>
      </c>
      <c r="L49" s="299" t="n">
        <v>7</v>
      </c>
      <c r="M49" s="300" t="n">
        <v>71.9</v>
      </c>
      <c r="N49" s="301" t="s">
        <v>2453</v>
      </c>
      <c r="O49" s="298" t="n">
        <v>2.396</v>
      </c>
      <c r="P49" s="298" t="n">
        <v>-0.614</v>
      </c>
      <c r="Q49" s="302" t="n">
        <v>3.01</v>
      </c>
    </row>
    <row r="50" customFormat="false" ht="18" hidden="false" customHeight="true" outlineLevel="0" collapsed="false">
      <c r="A50" s="292" t="n">
        <v>44</v>
      </c>
      <c r="B50" s="293" t="s">
        <v>2502</v>
      </c>
      <c r="C50" s="293" t="s">
        <v>2458</v>
      </c>
      <c r="D50" s="293" t="s">
        <v>2448</v>
      </c>
      <c r="E50" s="293" t="s">
        <v>2459</v>
      </c>
      <c r="F50" s="294" t="n">
        <v>712</v>
      </c>
      <c r="G50" s="293" t="n">
        <v>2.8</v>
      </c>
      <c r="H50" s="295" t="n">
        <v>-27010</v>
      </c>
      <c r="I50" s="296" t="n">
        <v>-54</v>
      </c>
      <c r="J50" s="297" t="n">
        <v>-90</v>
      </c>
      <c r="K50" s="298" t="n">
        <v>-0.717</v>
      </c>
      <c r="L50" s="299" t="n">
        <v>15</v>
      </c>
      <c r="M50" s="300" t="n">
        <v>66.8</v>
      </c>
      <c r="N50" s="301" t="s">
        <v>2453</v>
      </c>
      <c r="O50" s="298" t="n">
        <v>5.332</v>
      </c>
      <c r="P50" s="298" t="n">
        <v>-0.717</v>
      </c>
      <c r="Q50" s="302" t="n">
        <v>6.05</v>
      </c>
    </row>
    <row r="51" customFormat="false" ht="18" hidden="false" customHeight="true" outlineLevel="0" collapsed="false">
      <c r="A51" s="292" t="n">
        <v>45</v>
      </c>
      <c r="B51" s="293" t="s">
        <v>2503</v>
      </c>
      <c r="C51" s="293" t="s">
        <v>2467</v>
      </c>
      <c r="D51" s="293" t="s">
        <v>1839</v>
      </c>
      <c r="E51" s="293" t="s">
        <v>2468</v>
      </c>
      <c r="F51" s="294" t="n">
        <v>602</v>
      </c>
      <c r="G51" s="293" t="n">
        <v>2.4</v>
      </c>
      <c r="H51" s="295" t="n">
        <v>-25850</v>
      </c>
      <c r="I51" s="296" t="n">
        <v>-51.7</v>
      </c>
      <c r="J51" s="297" t="n">
        <v>-86.2</v>
      </c>
      <c r="K51" s="298" t="n">
        <v>-1.448</v>
      </c>
      <c r="L51" s="299" t="n">
        <v>4</v>
      </c>
      <c r="M51" s="300" t="n">
        <v>52</v>
      </c>
      <c r="N51" s="301" t="s">
        <v>2453</v>
      </c>
      <c r="O51" s="298" t="n">
        <v>5.619</v>
      </c>
      <c r="P51" s="298" t="n">
        <v>-1.448</v>
      </c>
      <c r="Q51" s="302" t="n">
        <v>7.07</v>
      </c>
    </row>
    <row r="52" customFormat="false" ht="18" hidden="false" customHeight="true" outlineLevel="0" collapsed="false">
      <c r="A52" s="292" t="n">
        <v>46</v>
      </c>
      <c r="B52" s="293" t="s">
        <v>2504</v>
      </c>
      <c r="C52" s="293" t="s">
        <v>2458</v>
      </c>
      <c r="D52" s="293" t="s">
        <v>2500</v>
      </c>
      <c r="E52" s="293" t="s">
        <v>2459</v>
      </c>
      <c r="F52" s="294" t="n">
        <v>979</v>
      </c>
      <c r="G52" s="293" t="n">
        <v>3.9</v>
      </c>
      <c r="H52" s="295" t="n">
        <v>-25718</v>
      </c>
      <c r="I52" s="296" t="n">
        <v>-51.4</v>
      </c>
      <c r="J52" s="297" t="n">
        <v>-85.7</v>
      </c>
      <c r="K52" s="298" t="n">
        <v>-1.507</v>
      </c>
      <c r="L52" s="299" t="n">
        <v>4</v>
      </c>
      <c r="M52" s="300" t="n">
        <v>52.5</v>
      </c>
      <c r="N52" s="301" t="s">
        <v>2453</v>
      </c>
      <c r="O52" s="298" t="n">
        <v>1.22</v>
      </c>
      <c r="P52" s="298" t="n">
        <v>-1.507</v>
      </c>
      <c r="Q52" s="302" t="n">
        <v>2.73</v>
      </c>
    </row>
    <row r="53" customFormat="false" ht="18" hidden="false" customHeight="true" outlineLevel="0" collapsed="false">
      <c r="A53" s="292" t="n">
        <v>47</v>
      </c>
      <c r="B53" s="293" t="s">
        <v>2505</v>
      </c>
      <c r="C53" s="293" t="s">
        <v>2467</v>
      </c>
      <c r="D53" s="293" t="s">
        <v>2500</v>
      </c>
      <c r="E53" s="293" t="s">
        <v>2449</v>
      </c>
      <c r="F53" s="294" t="n">
        <v>864</v>
      </c>
      <c r="G53" s="293" t="n">
        <v>3.4</v>
      </c>
      <c r="H53" s="295" t="n">
        <v>-25612</v>
      </c>
      <c r="I53" s="296" t="n">
        <v>-51.2</v>
      </c>
      <c r="J53" s="297" t="n">
        <v>-85.4</v>
      </c>
      <c r="K53" s="298" t="n">
        <v>-2.286</v>
      </c>
      <c r="L53" s="299" t="n">
        <v>7</v>
      </c>
      <c r="M53" s="300" t="n">
        <v>51.2</v>
      </c>
      <c r="N53" s="301" t="s">
        <v>2453</v>
      </c>
      <c r="O53" s="298" t="n">
        <v>6.359</v>
      </c>
      <c r="P53" s="298" t="n">
        <v>-2.286</v>
      </c>
      <c r="Q53" s="302" t="n">
        <v>8.64</v>
      </c>
    </row>
    <row r="54" customFormat="false" ht="18" hidden="false" customHeight="true" outlineLevel="0" collapsed="false">
      <c r="A54" s="292" t="n">
        <v>48</v>
      </c>
      <c r="B54" s="293" t="s">
        <v>2506</v>
      </c>
      <c r="C54" s="293" t="s">
        <v>2467</v>
      </c>
      <c r="D54" s="293" t="s">
        <v>2500</v>
      </c>
      <c r="E54" s="293" t="s">
        <v>2449</v>
      </c>
      <c r="F54" s="294" t="n">
        <v>854</v>
      </c>
      <c r="G54" s="293" t="n">
        <v>3.4</v>
      </c>
      <c r="H54" s="295" t="n">
        <v>-25578</v>
      </c>
      <c r="I54" s="296" t="n">
        <v>-51.2</v>
      </c>
      <c r="J54" s="297" t="n">
        <v>-85.3</v>
      </c>
      <c r="K54" s="298" t="n">
        <v>-2.353</v>
      </c>
      <c r="L54" s="299" t="n">
        <v>5</v>
      </c>
      <c r="M54" s="300" t="n">
        <v>53.4</v>
      </c>
      <c r="N54" s="301" t="s">
        <v>2453</v>
      </c>
      <c r="O54" s="298" t="n">
        <v>1.915</v>
      </c>
      <c r="P54" s="298" t="n">
        <v>-2.353</v>
      </c>
      <c r="Q54" s="302" t="n">
        <v>4.27</v>
      </c>
    </row>
    <row r="55" customFormat="false" ht="6" hidden="false" customHeight="true" outlineLevel="0" collapsed="false">
      <c r="A55" s="4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</row>
    <row r="56" customFormat="false" ht="18" hidden="false" customHeight="true" outlineLevel="0" collapsed="false">
      <c r="A56" s="304" t="s">
        <v>2344</v>
      </c>
      <c r="B56" s="305" t="s">
        <v>2507</v>
      </c>
      <c r="C56" s="306"/>
      <c r="D56" s="306"/>
      <c r="E56" s="306"/>
      <c r="F56" s="307" t="n">
        <f aca="false">AVERAGE(F7:F54)</f>
        <v>814.333333333333</v>
      </c>
      <c r="G56" s="305" t="n">
        <f aca="false">AVERAGE(G7:G54)</f>
        <v>3.225</v>
      </c>
      <c r="H56" s="308" t="n">
        <f aca="false">SUM(H7:H54)</f>
        <v>465677</v>
      </c>
      <c r="I56" s="305" t="n">
        <f aca="false">AVERAGE(I7:I54)</f>
        <v>19.4041666666667</v>
      </c>
      <c r="J56" s="305" t="n">
        <f aca="false">AVERAGE(J7:J54)</f>
        <v>32.3416666666667</v>
      </c>
      <c r="K56" s="309" t="n">
        <f aca="false">AVERAGE(K7:K54)</f>
        <v>0.2909375</v>
      </c>
      <c r="L56" s="305" t="n">
        <f aca="false">AVERAGE(L7:L54)</f>
        <v>13.2916666666667</v>
      </c>
      <c r="M56" s="305" t="n">
        <f aca="false">AVERAGE(M7:M54)</f>
        <v>38.54375</v>
      </c>
      <c r="N56" s="306"/>
      <c r="O56" s="306"/>
      <c r="P56" s="306"/>
      <c r="Q56" s="306"/>
    </row>
    <row r="57" customFormat="false" ht="6" hidden="false" customHeight="true" outlineLevel="0" collapsed="false">
      <c r="A57" s="4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</row>
    <row r="58" customFormat="false" ht="24" hidden="false" customHeight="true" outlineLevel="0" collapsed="false">
      <c r="A58" s="6" t="s">
        <v>2508</v>
      </c>
      <c r="B58" s="6"/>
      <c r="C58" s="6"/>
      <c r="D58" s="6"/>
      <c r="E58" s="6"/>
      <c r="F58" s="6"/>
      <c r="G58" s="6"/>
      <c r="H58" s="6"/>
      <c r="I58" s="6"/>
      <c r="J58" s="6"/>
      <c r="K58" s="5"/>
      <c r="L58" s="5"/>
      <c r="M58" s="5"/>
      <c r="N58" s="5"/>
      <c r="O58" s="5"/>
      <c r="P58" s="5"/>
      <c r="Q58" s="5"/>
    </row>
    <row r="59" customFormat="false" ht="21.75" hidden="false" customHeight="true" outlineLevel="0" collapsed="false">
      <c r="A59" s="22" t="s">
        <v>2509</v>
      </c>
      <c r="B59" s="22"/>
      <c r="C59" s="22"/>
      <c r="D59" s="22"/>
      <c r="E59" s="22"/>
      <c r="F59" s="22"/>
      <c r="G59" s="22"/>
      <c r="H59" s="22"/>
      <c r="I59" s="22"/>
      <c r="J59" s="22"/>
      <c r="K59" s="5"/>
      <c r="L59" s="5"/>
      <c r="M59" s="5"/>
      <c r="N59" s="5"/>
      <c r="O59" s="5"/>
      <c r="P59" s="5"/>
      <c r="Q59" s="5"/>
    </row>
    <row r="60" customFormat="false" ht="21.75" hidden="false" customHeight="true" outlineLevel="0" collapsed="false">
      <c r="A60" s="22" t="s">
        <v>2510</v>
      </c>
      <c r="B60" s="22"/>
      <c r="C60" s="22"/>
      <c r="D60" s="22"/>
      <c r="E60" s="22"/>
      <c r="F60" s="22"/>
      <c r="G60" s="22"/>
      <c r="H60" s="22"/>
      <c r="I60" s="22"/>
      <c r="J60" s="22"/>
      <c r="K60" s="5"/>
      <c r="L60" s="5"/>
      <c r="M60" s="5"/>
      <c r="N60" s="5"/>
      <c r="O60" s="5"/>
      <c r="P60" s="5"/>
      <c r="Q60" s="5"/>
    </row>
    <row r="61" customFormat="false" ht="21.75" hidden="false" customHeight="true" outlineLevel="0" collapsed="false">
      <c r="A61" s="22" t="s">
        <v>2511</v>
      </c>
      <c r="B61" s="22"/>
      <c r="C61" s="22"/>
      <c r="D61" s="22"/>
      <c r="E61" s="22"/>
      <c r="F61" s="22"/>
      <c r="G61" s="22"/>
      <c r="H61" s="22"/>
      <c r="I61" s="22"/>
      <c r="J61" s="22"/>
      <c r="K61" s="5"/>
      <c r="L61" s="5"/>
      <c r="M61" s="5"/>
      <c r="N61" s="5"/>
      <c r="O61" s="5"/>
      <c r="P61" s="5"/>
      <c r="Q61" s="5"/>
    </row>
    <row r="62" customFormat="false" ht="21.75" hidden="false" customHeight="true" outlineLevel="0" collapsed="false">
      <c r="A62" s="22" t="s">
        <v>2512</v>
      </c>
      <c r="B62" s="22"/>
      <c r="C62" s="22"/>
      <c r="D62" s="22"/>
      <c r="E62" s="22"/>
      <c r="F62" s="22"/>
      <c r="G62" s="22"/>
      <c r="H62" s="22"/>
      <c r="I62" s="22"/>
      <c r="J62" s="22"/>
      <c r="K62" s="5"/>
      <c r="L62" s="5"/>
      <c r="M62" s="5"/>
      <c r="N62" s="5"/>
      <c r="O62" s="5"/>
      <c r="P62" s="5"/>
      <c r="Q62" s="5"/>
    </row>
    <row r="63" customFormat="false" ht="21.75" hidden="false" customHeight="true" outlineLevel="0" collapsed="false">
      <c r="A63" s="22" t="s">
        <v>2513</v>
      </c>
      <c r="B63" s="22"/>
      <c r="C63" s="22"/>
      <c r="D63" s="22"/>
      <c r="E63" s="22"/>
      <c r="F63" s="22"/>
      <c r="G63" s="22"/>
      <c r="H63" s="22"/>
      <c r="I63" s="22"/>
      <c r="J63" s="22"/>
      <c r="K63" s="5"/>
      <c r="L63" s="5"/>
      <c r="M63" s="5"/>
      <c r="N63" s="5"/>
      <c r="O63" s="5"/>
      <c r="P63" s="5"/>
      <c r="Q63" s="5"/>
    </row>
    <row r="64" customFormat="false" ht="21.75" hidden="false" customHeight="true" outlineLevel="0" collapsed="false">
      <c r="A64" s="22" t="s">
        <v>2514</v>
      </c>
      <c r="B64" s="22"/>
      <c r="C64" s="22"/>
      <c r="D64" s="22"/>
      <c r="E64" s="22"/>
      <c r="F64" s="22"/>
      <c r="G64" s="22"/>
      <c r="H64" s="22"/>
      <c r="I64" s="22"/>
      <c r="J64" s="22"/>
      <c r="K64" s="5"/>
      <c r="L64" s="5"/>
      <c r="M64" s="5"/>
      <c r="N64" s="5"/>
      <c r="O64" s="5"/>
      <c r="P64" s="5"/>
      <c r="Q64" s="5"/>
    </row>
    <row r="65" customFormat="false" ht="6" hidden="false" customHeight="true" outlineLevel="0" collapsed="false">
      <c r="A65" s="22"/>
      <c r="B65" s="22"/>
      <c r="C65" s="22"/>
      <c r="D65" s="22"/>
      <c r="E65" s="22"/>
      <c r="F65" s="22"/>
      <c r="G65" s="22"/>
      <c r="H65" s="22"/>
      <c r="I65" s="22"/>
      <c r="J65" s="22"/>
      <c r="K65" s="5"/>
      <c r="L65" s="5"/>
      <c r="M65" s="5"/>
      <c r="N65" s="5"/>
      <c r="O65" s="5"/>
      <c r="P65" s="5"/>
      <c r="Q65" s="5"/>
    </row>
    <row r="66" customFormat="false" ht="24" hidden="false" customHeight="true" outlineLevel="0" collapsed="false">
      <c r="A66" s="6" t="s">
        <v>2515</v>
      </c>
      <c r="B66" s="6"/>
      <c r="C66" s="6"/>
      <c r="D66" s="6"/>
      <c r="E66" s="6"/>
      <c r="F66" s="6"/>
      <c r="G66" s="6"/>
      <c r="H66" s="6"/>
      <c r="I66" s="6"/>
      <c r="J66" s="6"/>
      <c r="K66" s="5"/>
      <c r="L66" s="5"/>
      <c r="M66" s="5"/>
      <c r="N66" s="5"/>
      <c r="O66" s="5"/>
      <c r="P66" s="5"/>
      <c r="Q66" s="5"/>
    </row>
    <row r="67" customFormat="false" ht="21.75" hidden="false" customHeight="true" outlineLevel="0" collapsed="false">
      <c r="A67" s="22" t="s">
        <v>2516</v>
      </c>
      <c r="B67" s="22"/>
      <c r="C67" s="22"/>
      <c r="D67" s="22"/>
      <c r="E67" s="22"/>
      <c r="F67" s="22"/>
      <c r="G67" s="22"/>
      <c r="H67" s="22"/>
      <c r="I67" s="22"/>
      <c r="J67" s="22"/>
      <c r="K67" s="5"/>
      <c r="L67" s="5"/>
      <c r="M67" s="5"/>
      <c r="N67" s="5"/>
      <c r="O67" s="5"/>
      <c r="P67" s="5"/>
      <c r="Q67" s="5"/>
    </row>
    <row r="68" customFormat="false" ht="21.75" hidden="false" customHeight="true" outlineLevel="0" collapsed="false">
      <c r="A68" s="22" t="s">
        <v>2517</v>
      </c>
      <c r="B68" s="22"/>
      <c r="C68" s="22"/>
      <c r="D68" s="22"/>
      <c r="E68" s="22"/>
      <c r="F68" s="22"/>
      <c r="G68" s="22"/>
      <c r="H68" s="22"/>
      <c r="I68" s="22"/>
      <c r="J68" s="22"/>
      <c r="K68" s="5"/>
      <c r="L68" s="5"/>
      <c r="M68" s="5"/>
      <c r="N68" s="5"/>
      <c r="O68" s="5"/>
      <c r="P68" s="5"/>
      <c r="Q68" s="5"/>
    </row>
    <row r="69" customFormat="false" ht="6" hidden="false" customHeight="true" outlineLevel="0" collapsed="false">
      <c r="A69" s="22"/>
      <c r="B69" s="22"/>
      <c r="C69" s="22"/>
      <c r="D69" s="22"/>
      <c r="E69" s="22"/>
      <c r="F69" s="22"/>
      <c r="G69" s="22"/>
      <c r="H69" s="22"/>
      <c r="I69" s="22"/>
      <c r="J69" s="22"/>
      <c r="K69" s="5"/>
      <c r="L69" s="5"/>
      <c r="M69" s="5"/>
      <c r="N69" s="5"/>
      <c r="O69" s="5"/>
      <c r="P69" s="5"/>
      <c r="Q69" s="5"/>
    </row>
    <row r="70" customFormat="false" ht="24" hidden="false" customHeight="true" outlineLevel="0" collapsed="false">
      <c r="A70" s="6" t="s">
        <v>2518</v>
      </c>
      <c r="B70" s="6"/>
      <c r="C70" s="6"/>
      <c r="D70" s="6"/>
      <c r="E70" s="6"/>
      <c r="F70" s="6"/>
      <c r="G70" s="6"/>
      <c r="H70" s="6"/>
      <c r="I70" s="6"/>
      <c r="J70" s="6"/>
      <c r="K70" s="5"/>
      <c r="L70" s="5"/>
      <c r="M70" s="5"/>
      <c r="N70" s="5"/>
      <c r="O70" s="5"/>
      <c r="P70" s="5"/>
      <c r="Q70" s="5"/>
    </row>
    <row r="71" customFormat="false" ht="21.75" hidden="false" customHeight="true" outlineLevel="0" collapsed="false">
      <c r="A71" s="22" t="s">
        <v>2519</v>
      </c>
      <c r="B71" s="22"/>
      <c r="C71" s="22"/>
      <c r="D71" s="22"/>
      <c r="E71" s="22"/>
      <c r="F71" s="22"/>
      <c r="G71" s="22"/>
      <c r="H71" s="22"/>
      <c r="I71" s="22"/>
      <c r="J71" s="22"/>
      <c r="K71" s="5"/>
      <c r="L71" s="5"/>
      <c r="M71" s="5"/>
      <c r="N71" s="5"/>
      <c r="O71" s="5"/>
      <c r="P71" s="5"/>
      <c r="Q71" s="5"/>
    </row>
    <row r="72" customFormat="false" ht="6" hidden="false" customHeight="true" outlineLevel="0" collapsed="false">
      <c r="A72" s="22"/>
      <c r="B72" s="22"/>
      <c r="C72" s="22"/>
      <c r="D72" s="22"/>
      <c r="E72" s="22"/>
      <c r="F72" s="22"/>
      <c r="G72" s="22"/>
      <c r="H72" s="22"/>
      <c r="I72" s="22"/>
      <c r="J72" s="22"/>
      <c r="K72" s="5"/>
      <c r="L72" s="5"/>
      <c r="M72" s="5"/>
      <c r="N72" s="5"/>
      <c r="O72" s="5"/>
      <c r="P72" s="5"/>
      <c r="Q72" s="5"/>
    </row>
    <row r="73" customFormat="false" ht="24" hidden="false" customHeight="true" outlineLevel="0" collapsed="false">
      <c r="A73" s="6" t="s">
        <v>2520</v>
      </c>
      <c r="B73" s="6"/>
      <c r="C73" s="6"/>
      <c r="D73" s="6"/>
      <c r="E73" s="6"/>
      <c r="F73" s="6"/>
      <c r="G73" s="6"/>
      <c r="H73" s="6"/>
      <c r="I73" s="6"/>
      <c r="J73" s="6"/>
      <c r="K73" s="5"/>
      <c r="L73" s="5"/>
      <c r="M73" s="5"/>
      <c r="N73" s="5"/>
      <c r="O73" s="5"/>
      <c r="P73" s="5"/>
      <c r="Q73" s="5"/>
    </row>
    <row r="74" customFormat="false" ht="21.75" hidden="false" customHeight="true" outlineLevel="0" collapsed="false">
      <c r="A74" s="22" t="s">
        <v>2521</v>
      </c>
      <c r="B74" s="22"/>
      <c r="C74" s="22"/>
      <c r="D74" s="22"/>
      <c r="E74" s="22"/>
      <c r="F74" s="22"/>
      <c r="G74" s="22"/>
      <c r="H74" s="22"/>
      <c r="I74" s="22"/>
      <c r="J74" s="22"/>
      <c r="K74" s="5"/>
      <c r="L74" s="5"/>
      <c r="M74" s="5"/>
      <c r="N74" s="5"/>
      <c r="O74" s="5"/>
      <c r="P74" s="5"/>
      <c r="Q74" s="5"/>
    </row>
    <row r="75" customFormat="false" ht="6" hidden="false" customHeight="true" outlineLevel="0" collapsed="false">
      <c r="A75" s="22"/>
      <c r="B75" s="22"/>
      <c r="C75" s="22"/>
      <c r="D75" s="22"/>
      <c r="E75" s="22"/>
      <c r="F75" s="22"/>
      <c r="G75" s="22"/>
      <c r="H75" s="22"/>
      <c r="I75" s="22"/>
      <c r="J75" s="22"/>
      <c r="K75" s="5"/>
      <c r="L75" s="5"/>
      <c r="M75" s="5"/>
      <c r="N75" s="5"/>
      <c r="O75" s="5"/>
      <c r="P75" s="5"/>
      <c r="Q75" s="5"/>
    </row>
    <row r="76" customFormat="false" ht="24" hidden="false" customHeight="true" outlineLevel="0" collapsed="false">
      <c r="A76" s="6" t="s">
        <v>2522</v>
      </c>
      <c r="B76" s="6"/>
      <c r="C76" s="6"/>
      <c r="D76" s="6"/>
      <c r="E76" s="6"/>
      <c r="F76" s="6"/>
      <c r="G76" s="6"/>
      <c r="H76" s="6"/>
      <c r="I76" s="6"/>
      <c r="J76" s="6"/>
      <c r="K76" s="5"/>
      <c r="L76" s="5"/>
      <c r="M76" s="5"/>
      <c r="N76" s="5"/>
      <c r="O76" s="5"/>
      <c r="P76" s="5"/>
      <c r="Q76" s="5"/>
    </row>
    <row r="77" customFormat="false" ht="21.75" hidden="false" customHeight="true" outlineLevel="0" collapsed="false">
      <c r="A77" s="22" t="s">
        <v>2523</v>
      </c>
      <c r="B77" s="22"/>
      <c r="C77" s="22"/>
      <c r="D77" s="22"/>
      <c r="E77" s="22"/>
      <c r="F77" s="22"/>
      <c r="G77" s="22"/>
      <c r="H77" s="22"/>
      <c r="I77" s="22"/>
      <c r="J77" s="22"/>
      <c r="K77" s="5"/>
      <c r="L77" s="5"/>
      <c r="M77" s="5"/>
      <c r="N77" s="5"/>
      <c r="O77" s="5"/>
      <c r="P77" s="5"/>
      <c r="Q77" s="5"/>
    </row>
    <row r="78" customFormat="false" ht="21.75" hidden="false" customHeight="true" outlineLevel="0" collapsed="false">
      <c r="A78" s="265" t="s">
        <v>2524</v>
      </c>
      <c r="B78" s="265"/>
      <c r="C78" s="265"/>
      <c r="D78" s="265"/>
      <c r="E78" s="265"/>
      <c r="F78" s="265"/>
      <c r="G78" s="265"/>
      <c r="H78" s="265"/>
      <c r="I78" s="265"/>
      <c r="J78" s="265"/>
      <c r="K78" s="5"/>
      <c r="L78" s="5"/>
      <c r="M78" s="5"/>
      <c r="N78" s="5"/>
      <c r="O78" s="5"/>
      <c r="P78" s="5"/>
      <c r="Q78" s="5"/>
    </row>
  </sheetData>
  <mergeCells count="24">
    <mergeCell ref="A2:Q2"/>
    <mergeCell ref="A3:Q3"/>
    <mergeCell ref="A4:Q4"/>
    <mergeCell ref="A58:J58"/>
    <mergeCell ref="A59:J59"/>
    <mergeCell ref="A60:J60"/>
    <mergeCell ref="A61:J61"/>
    <mergeCell ref="A62:J62"/>
    <mergeCell ref="A63:J63"/>
    <mergeCell ref="A64:J64"/>
    <mergeCell ref="A65:J65"/>
    <mergeCell ref="A66:J66"/>
    <mergeCell ref="A67:J67"/>
    <mergeCell ref="A68:J68"/>
    <mergeCell ref="A69:J69"/>
    <mergeCell ref="A70:J70"/>
    <mergeCell ref="A71:J71"/>
    <mergeCell ref="A72:J72"/>
    <mergeCell ref="A73:J73"/>
    <mergeCell ref="A74:J74"/>
    <mergeCell ref="A75:J75"/>
    <mergeCell ref="A76:J76"/>
    <mergeCell ref="A77:J77"/>
    <mergeCell ref="A78:J78"/>
  </mergeCells>
  <printOptions headings="false" gridLines="false" gridLinesSet="true" horizontalCentered="false" verticalCentered="false"/>
  <pageMargins left="0.4" right="0.4" top="0.5" bottom="0.5" header="0.25" footer="0.25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&amp;CWillis Holdings</oddHeader>
    <oddFooter>&amp;CCONFIDENTIAL  | 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2026-02-17T22:25:53Z</dcterms:created>
  <dc:creator>openpyxl</dc:creator>
  <dc:description/>
  <dc:language>en-US</dc:language>
  <cp:lastModifiedBy/>
  <dcterms:modified xsi:type="dcterms:W3CDTF">2026-02-18T21:36:12Z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