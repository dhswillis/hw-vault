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ignal Rankings" sheetId="2" state="visible" r:id="rId4"/>
    <sheet name="Portfolio" sheetId="3" state="visible" r:id="rId5"/>
    <sheet name="Correlation" sheetId="4" state="visible" r:id="rId6"/>
    <sheet name="Monthly P&amp;L" sheetId="5" state="visible" r:id="rId7"/>
    <sheet name="BE+Trail Analysis" sheetId="6" state="visible" r:id="rId8"/>
    <sheet name="V10i Bug Report" sheetId="7" state="visible" r:id="rId9"/>
    <sheet name="Trade Clustering" sheetId="8" state="visible" r:id="rId10"/>
    <sheet name="Strategy Tier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<sst xmlns="http://schemas.openxmlformats.org/spreadsheetml/2006/main" count="397" uniqueCount="149">
  <si>
    <t xml:space="preserve">NQ FUTURES — CONTEXT ENGINE MINING RESULTS</t>
  </si>
  <si>
    <t xml:space="preserve">V2 Corrected — 34,323 Trades | 258 Days | Feb 2025 - Feb 2026</t>
  </si>
  <si>
    <t xml:space="preserve">CRITICAL FINDINGS</t>
  </si>
  <si>
    <t xml:space="preserve">Finding</t>
  </si>
  <si>
    <t xml:space="preserve">Detail</t>
  </si>
  <si>
    <t xml:space="preserve">Status</t>
  </si>
  <si>
    <t xml:space="preserve">V10i Alignment Bug</t>
  </si>
  <si>
    <t xml:space="preserve">Higher-TF alignment used unclosed candle closes (look-ahead). WR dropped 91.1% → 37.6% when fixed.</t>
  </si>
  <si>
    <t xml:space="preserve">DEBUNKED</t>
  </si>
  <si>
    <t xml:space="preserve">V2 Alignment Clean</t>
  </si>
  <si>
    <t xml:space="preserve">Our 3-bar HH/HL trend uses only completed bars. No look-ahead bias.</t>
  </si>
  <si>
    <t xml:space="preserve">CONFIRMED</t>
  </si>
  <si>
    <t xml:space="preserve">BE+Trail Drives Edge</t>
  </si>
  <si>
    <t xml:space="preserve">BOS_FVG: -0.26R/trade at fixed 1R, but +1.35R/trade with BE+Trail. 29.5% of trades are 2R+ runners.</t>
  </si>
  <si>
    <t xml:space="preserve">KEY INSIGHT</t>
  </si>
  <si>
    <t xml:space="preserve">100% WR Snipers</t>
  </si>
  <si>
    <t xml:space="preserve">BOS_FVG + body_confirms + co≤0 @ be_trail: 100% WR (n=309). All trades reach 1R. Avg max_r = 7.01R.</t>
  </si>
  <si>
    <t xml:space="preserve">REAL BUT NICHE</t>
  </si>
  <si>
    <t xml:space="preserve">Low Correlation</t>
  </si>
  <si>
    <t xml:space="preserve">FVG-family vs sweep-family daily P&amp;L correlation ~0.03. Genuine diversification.</t>
  </si>
  <si>
    <t xml:space="preserve">Portfolio: +20,662R</t>
  </si>
  <si>
    <t xml:space="preserve">7 strategies, 22,896 trades, 81.8% green days, 13/13 green months, Calmar 425.</t>
  </si>
  <si>
    <t xml:space="preserve">COMBINED</t>
  </si>
  <si>
    <t xml:space="preserve">SIGNAL PERFORMANCE — All Exit Types</t>
  </si>
  <si>
    <t xml:space="preserve">Signal</t>
  </si>
  <si>
    <t xml:space="preserve">n</t>
  </si>
  <si>
    <t xml:space="preserve">BE+Trail WR</t>
  </si>
  <si>
    <t xml:space="preserve">BE+Trail R</t>
  </si>
  <si>
    <t xml:space="preserve">BE+Trail R/T</t>
  </si>
  <si>
    <t xml:space="preserve">R=1.0 WR</t>
  </si>
  <si>
    <t xml:space="preserve">R=1.0 R</t>
  </si>
  <si>
    <t xml:space="preserve">R=2.0 WR</t>
  </si>
  <si>
    <t xml:space="preserve">R=2.0 R</t>
  </si>
  <si>
    <t xml:space="preserve">WF IS WR</t>
  </si>
  <si>
    <t xml:space="preserve">WF OOS WR</t>
  </si>
  <si>
    <t xml:space="preserve">WF Status</t>
  </si>
  <si>
    <t xml:space="preserve">BE Near-Zero %</t>
  </si>
  <si>
    <t xml:space="preserve">BOS_FVG</t>
  </si>
  <si>
    <t xml:space="preserve">PASS</t>
  </si>
  <si>
    <t xml:space="preserve">fvg_exit_fvg_stop</t>
  </si>
  <si>
    <t xml:space="preserve">fvg_exit_body_stop</t>
  </si>
  <si>
    <t xml:space="preserve">sweep_wick_sweep</t>
  </si>
  <si>
    <t xml:space="preserve">FAIL</t>
  </si>
  <si>
    <t xml:space="preserve">sweep_close_through</t>
  </si>
  <si>
    <t xml:space="preserve">swing_failure</t>
  </si>
  <si>
    <t xml:space="preserve">sweep_fvg_combo</t>
  </si>
  <si>
    <t xml:space="preserve">OPTIMAL PORTFOLIO — Best Exit Per Signal (WF Passing)</t>
  </si>
  <si>
    <t xml:space="preserve">Filters</t>
  </si>
  <si>
    <t xml:space="preserve">Exit</t>
  </si>
  <si>
    <t xml:space="preserve">Win Rate</t>
  </si>
  <si>
    <t xml:space="preserve">Total R</t>
  </si>
  <si>
    <t xml:space="preserve">R/Trade</t>
  </si>
  <si>
    <t xml:space="preserve">WF Delta</t>
  </si>
  <si>
    <t xml:space="preserve">Tier</t>
  </si>
  <si>
    <t xml:space="preserve">unfiltered</t>
  </si>
  <si>
    <t xml:space="preserve">be_trail</t>
  </si>
  <si>
    <t xml:space="preserve">Sharpshooter</t>
  </si>
  <si>
    <t xml:space="preserve">al&gt;=2 + co&lt;=2</t>
  </si>
  <si>
    <t xml:space="preserve">5.0</t>
  </si>
  <si>
    <t xml:space="preserve">Gunner</t>
  </si>
  <si>
    <t xml:space="preserve">al&gt;=2</t>
  </si>
  <si>
    <t xml:space="preserve">COMBINED PORTFOLIO</t>
  </si>
  <si>
    <t xml:space="preserve">Total Trades</t>
  </si>
  <si>
    <t xml:space="preserve">Green Days</t>
  </si>
  <si>
    <t xml:space="preserve">211/258 (81.8%)</t>
  </si>
  <si>
    <t xml:space="preserve">Avg Pairwise Correlation</t>
  </si>
  <si>
    <t xml:space="preserve">DAILY P&amp;L CORRELATION MATRIX</t>
  </si>
  <si>
    <t xml:space="preserve">Legend:</t>
  </si>
  <si>
    <t xml:space="preserve">Blue = diagonal (self)</t>
  </si>
  <si>
    <t xml:space="preserve">Yellow = moderate correlation (|r| &gt; 0.3)</t>
  </si>
  <si>
    <t xml:space="preserve">Green = negative correlation (diversifying)</t>
  </si>
  <si>
    <t xml:space="preserve">MONTHLY P&amp;L BY STRATEGY</t>
  </si>
  <si>
    <t xml:space="preserve">Month</t>
  </si>
  <si>
    <t xml:space="preserve">TOTAL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</si>
  <si>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</si>
  <si>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</si>
  <si>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</si>
  <si>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</si>
  <si>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</si>
  <si>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</si>
  <si>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</si>
  <si>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</si>
  <si>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</si>
  <si>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</si>
  <si>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</si>
  <si>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</si>
  <si>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</si>
  <si>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BE+TRAIL MECHANISM — Why It Matters</t>
  </si>
  <si>
    <t xml:space="preserve">WR Gap</t>
  </si>
  <si>
    <t xml:space="preserve">Near-Zero %</t>
  </si>
  <si>
    <t xml:space="preserve">BE avgR</t>
  </si>
  <si>
    <t xml:space="preserve">R=1.0 avgR</t>
  </si>
  <si>
    <t xml:space="preserve">R Gap</t>
  </si>
  <si>
    <t xml:space="preserve">Large Wins (2R+)</t>
  </si>
  <si>
    <t xml:space="preserve">Large Win R</t>
  </si>
  <si>
    <t xml:space="preserve">KEY INSIGHT: BE+Trail is a trend-following exit. It converts losing trades into breakevens (near-zero), then lets winners run. The edge comes from fat-tail distribution — a minority of large wins (2R+) generate all the profit. BOS_FVG: 29.5% of trades are 2R+ winners producing +17,461R; the other 70.5% combined for -2,094R.</t>
  </si>
  <si>
    <t xml:space="preserve">V10i ALIGNMENT LOOK-AHEAD BIAS — BEFORE vs AFTER FIX</t>
  </si>
  <si>
    <t xml:space="preserve">Strategy</t>
  </si>
  <si>
    <t xml:space="preserve">Original n</t>
  </si>
  <si>
    <t xml:space="preserve">Original WR</t>
  </si>
  <si>
    <t xml:space="preserve">Original R</t>
  </si>
  <si>
    <t xml:space="preserve">Fixed n</t>
  </si>
  <si>
    <t xml:space="preserve">Fixed WR</t>
  </si>
  <si>
    <t xml:space="preserve">Fixed R</t>
  </si>
  <si>
    <t xml:space="preserve">WR Change</t>
  </si>
  <si>
    <t xml:space="preserve">Verdict</t>
  </si>
  <si>
    <t xml:space="preserve">FA ATR 1.5x + al&gt;=5 + co&lt;=0</t>
  </si>
  <si>
    <t xml:space="preserve">DESTROYED</t>
  </si>
  <si>
    <t xml:space="preserve">FA 1M liq + al&gt;=5 + co&lt;=0</t>
  </si>
  <si>
    <t xml:space="preserve">N/A (same bug)</t>
  </si>
  <si>
    <t xml:space="preserve">FA 5M liq + al&gt;=5 + co&lt;=0</t>
  </si>
  <si>
    <t xml:space="preserve">BOS 1M liq + al&gt;=5 + co&lt;=0</t>
  </si>
  <si>
    <t xml:space="preserve">BUG: get_alignment() uses tf_c.index &lt;= candles_1m.index[idx] which selects the CURRENTLY OPEN higher-TF bar. The "close" field contains the FUTURE close price. FIX: cutoff = entry_time - tf_duration, ensuring only fully completed bars are used.</t>
  </si>
  <si>
    <t xml:space="preserve">INTRA-DAY TRADE CLUSTERING &amp; INDEPENDENCE</t>
  </si>
  <si>
    <t xml:space="preserve">Active Days</t>
  </si>
  <si>
    <t xml:space="preserve">Trades/Day</t>
  </si>
  <si>
    <t xml:space="preserve">Max/Day</t>
  </si>
  <si>
    <t xml:space="preserve">Same-Dir Days %</t>
  </si>
  <si>
    <t xml:space="preserve">Outcome Corr %</t>
  </si>
  <si>
    <t xml:space="preserve">Independence</t>
  </si>
  <si>
    <t xml:space="preserve">MODERATE</t>
  </si>
  <si>
    <t xml:space="preserve">GOOD</t>
  </si>
  <si>
    <t xml:space="preserve">LOW</t>
  </si>
  <si>
    <t xml:space="preserve">STRATEGY TIERS — Sniper / Sharpshooter / Gunner</t>
  </si>
  <si>
    <t xml:space="preserve">WF IS</t>
  </si>
  <si>
    <t xml:space="preserve">WF OOS</t>
  </si>
  <si>
    <t xml:space="preserve">Sniper</t>
  </si>
  <si>
    <t xml:space="preserve">al&gt;=4 + co&lt;=1</t>
  </si>
  <si>
    <t xml:space="preserve">0.5</t>
  </si>
  <si>
    <t xml:space="preserve">0.75</t>
  </si>
  <si>
    <t xml:space="preserve">al&gt;=2 + co&lt;=0</t>
  </si>
  <si>
    <t xml:space="preserve">al&gt;=4</t>
  </si>
  <si>
    <t xml:space="preserve">al&gt;=4 + co&lt;=2</t>
  </si>
  <si>
    <t xml:space="preserve">al&gt;=3 + co&lt;=1</t>
  </si>
  <si>
    <t xml:space="preserve">1.0</t>
  </si>
  <si>
    <t xml:space="preserve">1.25</t>
  </si>
  <si>
    <t xml:space="preserve">al&gt;=4 + co&lt;=0</t>
  </si>
  <si>
    <t xml:space="preserve">co&lt;=2</t>
  </si>
  <si>
    <t xml:space="preserve">al&gt;=3 + co&lt;=2</t>
  </si>
  <si>
    <t xml:space="preserve">al&gt;=3</t>
  </si>
  <si>
    <t xml:space="preserve">al&gt;=2 + co&lt;=1</t>
  </si>
  <si>
    <t xml:space="preserve">2.0</t>
  </si>
  <si>
    <t xml:space="preserve">co&lt;=1</t>
  </si>
  <si>
    <t xml:space="preserve">1.5</t>
  </si>
  <si>
    <t xml:space="preserve">co&lt;=0</t>
  </si>
  <si>
    <t xml:space="preserve">none</t>
  </si>
  <si>
    <t xml:space="preserve">Sniper count: 160</t>
  </si>
  <si>
    <t xml:space="preserve">Sharpshooter count: 101</t>
  </si>
  <si>
    <t xml:space="preserve">Gunner count: 48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</si>
</sst>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;\(#,##0.0\);\-"/>
    <numFmt numFmtId="168" formatCode="0.000"/>
    <numFmt numFmtId="169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2F5496"/>
        <bgColor rgb="FF0066CC"/>
      </patternFill>
    </fill>
    <fill>
      <patternFill patternType="solid">
        <fgColor rgb="FFFFC7CE"/>
        <bgColor rgb="FFFFF2CC"/>
      </patternFill>
    </fill>
    <fill>
      <patternFill patternType="solid">
        <fgColor rgb="FFC6EFCE"/>
        <bgColor rgb="FFD6E4F0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23.8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15" hidden="false" customHeight="false" outlineLevel="0" collapsed="false">
      <c r="A7" s="5" t="s">
        <v>9</v>
      </c>
      <c r="B7" s="6" t="s">
        <v>10</v>
      </c>
      <c r="C7" s="8" t="s">
        <v>11</v>
      </c>
    </row>
    <row r="8" customFormat="false" ht="23.85" hidden="false" customHeight="false" outlineLevel="0" collapsed="false">
      <c r="A8" s="5" t="s">
        <v>12</v>
      </c>
      <c r="B8" s="6" t="s">
        <v>13</v>
      </c>
      <c r="C8" s="9" t="s">
        <v>14</v>
      </c>
    </row>
    <row r="9" customFormat="false" ht="23.85" hidden="false" customHeight="false" outlineLevel="0" collapsed="false">
      <c r="A9" s="5" t="s">
        <v>15</v>
      </c>
      <c r="B9" s="6" t="s">
        <v>16</v>
      </c>
      <c r="C9" s="8" t="s">
        <v>17</v>
      </c>
    </row>
    <row r="10" customFormat="false" ht="15" hidden="false" customHeight="false" outlineLevel="0" collapsed="false">
      <c r="A10" s="5" t="s">
        <v>18</v>
      </c>
      <c r="B10" s="6" t="s">
        <v>19</v>
      </c>
      <c r="C10" s="8" t="s">
        <v>11</v>
      </c>
    </row>
    <row r="11" customFormat="false" ht="15" hidden="false" customHeight="false" outlineLevel="0" collapsed="false">
      <c r="A11" s="5" t="s">
        <v>20</v>
      </c>
      <c r="B11" s="6" t="s">
        <v>21</v>
      </c>
      <c r="C11" s="8" t="s">
        <v>22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4" min="3" style="0" width="22"/>
    <col collapsed="false" customWidth="true" hidden="false" outlineLevel="0" max="5" min="5" style="0" width="23"/>
    <col collapsed="false" customWidth="true" hidden="false" outlineLevel="0" max="11" min="6" style="0" width="22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</row>
    <row r="4" customFormat="false" ht="15" hidden="false" customHeight="false" outlineLevel="0" collapsed="false">
      <c r="A4" s="11" t="s">
        <v>37</v>
      </c>
      <c r="B4" s="12" t="n">
        <v>11348</v>
      </c>
      <c r="C4" s="13" t="n">
        <v>0.634737398660557</v>
      </c>
      <c r="D4" s="14" t="n">
        <v>15367.841</v>
      </c>
      <c r="E4" s="14" t="n">
        <v>1.35423343320409</v>
      </c>
      <c r="F4" s="13" t="n">
        <v>0.397074374339091</v>
      </c>
      <c r="G4" s="14" t="n">
        <v>-2946.20000000006</v>
      </c>
      <c r="H4" s="13" t="n">
        <v>0.36164962989073</v>
      </c>
      <c r="I4" s="14" t="n">
        <v>319.14200000001</v>
      </c>
      <c r="J4" s="13" t="n">
        <v>0.63582038586307</v>
      </c>
      <c r="K4" s="13" t="n">
        <v>0.633582225459843</v>
      </c>
      <c r="L4" s="15" t="s">
        <v>38</v>
      </c>
      <c r="M4" s="13" t="n">
        <v>0.194307366936905</v>
      </c>
    </row>
    <row r="5" customFormat="false" ht="15" hidden="false" customHeight="false" outlineLevel="0" collapsed="false">
      <c r="A5" s="11" t="s">
        <v>39</v>
      </c>
      <c r="B5" s="12" t="n">
        <v>3767</v>
      </c>
      <c r="C5" s="13" t="n">
        <v>0.672418370055747</v>
      </c>
      <c r="D5" s="14" t="n">
        <v>2218.911</v>
      </c>
      <c r="E5" s="14" t="n">
        <v>0.589039288558535</v>
      </c>
      <c r="F5" s="13" t="n">
        <v>0.380408813379347</v>
      </c>
      <c r="G5" s="14" t="n">
        <v>-1090.767</v>
      </c>
      <c r="H5" s="13" t="n">
        <v>0.293867799309796</v>
      </c>
      <c r="I5" s="14" t="n">
        <v>-667.354999999999</v>
      </c>
      <c r="J5" s="13" t="n">
        <v>0.678270042194093</v>
      </c>
      <c r="K5" s="13" t="n">
        <v>0.666488508818814</v>
      </c>
      <c r="L5" s="15" t="s">
        <v>38</v>
      </c>
      <c r="M5" s="13" t="n">
        <v>0.302628086010088</v>
      </c>
    </row>
    <row r="6" customFormat="false" ht="15" hidden="false" customHeight="false" outlineLevel="0" collapsed="false">
      <c r="A6" s="11" t="s">
        <v>40</v>
      </c>
      <c r="B6" s="12" t="n">
        <v>1892</v>
      </c>
      <c r="C6" s="13" t="n">
        <v>0.604651162790698</v>
      </c>
      <c r="D6" s="14" t="n">
        <v>502.108</v>
      </c>
      <c r="E6" s="14" t="n">
        <v>0.265384778012685</v>
      </c>
      <c r="F6" s="13" t="n">
        <v>0.503171247357294</v>
      </c>
      <c r="G6" s="14" t="n">
        <v>-50.278</v>
      </c>
      <c r="H6" s="13" t="n">
        <v>0.371564482029598</v>
      </c>
      <c r="I6" s="14" t="n">
        <v>118.428000000001</v>
      </c>
      <c r="J6" s="13" t="n">
        <v>0.635135135135135</v>
      </c>
      <c r="K6" s="13" t="n">
        <v>0.573118279569893</v>
      </c>
      <c r="L6" s="15" t="s">
        <v>38</v>
      </c>
      <c r="M6" s="13" t="n">
        <v>0.34830866807611</v>
      </c>
    </row>
    <row r="7" customFormat="false" ht="15" hidden="false" customHeight="false" outlineLevel="0" collapsed="false">
      <c r="A7" s="11" t="s">
        <v>41</v>
      </c>
      <c r="B7" s="12" t="n">
        <v>8390</v>
      </c>
      <c r="C7" s="13" t="n">
        <v>0.474851013110846</v>
      </c>
      <c r="D7" s="14" t="n">
        <v>-2629.96800000001</v>
      </c>
      <c r="E7" s="14" t="n">
        <v>-0.313464600715137</v>
      </c>
      <c r="F7" s="13" t="n">
        <v>0.456376638855781</v>
      </c>
      <c r="G7" s="14" t="n">
        <v>-934.413999999997</v>
      </c>
      <c r="H7" s="13" t="n">
        <v>0.313349225268176</v>
      </c>
      <c r="I7" s="14" t="n">
        <v>-871.003999999998</v>
      </c>
      <c r="J7" s="13" t="n">
        <v>0.461067984003764</v>
      </c>
      <c r="K7" s="13" t="n">
        <v>0.489007006523315</v>
      </c>
      <c r="L7" s="16" t="s">
        <v>42</v>
      </c>
      <c r="M7" s="13" t="n">
        <v>0.33015494636472</v>
      </c>
    </row>
    <row r="8" customFormat="false" ht="15" hidden="false" customHeight="false" outlineLevel="0" collapsed="false">
      <c r="A8" s="11" t="s">
        <v>43</v>
      </c>
      <c r="B8" s="12" t="n">
        <v>4905</v>
      </c>
      <c r="C8" s="13" t="n">
        <v>0.475433231396534</v>
      </c>
      <c r="D8" s="14" t="n">
        <v>-1404.69299999999</v>
      </c>
      <c r="E8" s="14" t="n">
        <v>-0.286379816513762</v>
      </c>
      <c r="F8" s="13" t="n">
        <v>0.467482161060143</v>
      </c>
      <c r="G8" s="14" t="n">
        <v>-429.110999999999</v>
      </c>
      <c r="H8" s="13" t="n">
        <v>0.326809378185525</v>
      </c>
      <c r="I8" s="14" t="n">
        <v>-348.534999999999</v>
      </c>
      <c r="J8" s="13" t="n">
        <v>0.476619476619477</v>
      </c>
      <c r="K8" s="13" t="n">
        <v>0.474358974358974</v>
      </c>
      <c r="L8" s="16" t="s">
        <v>42</v>
      </c>
      <c r="M8" s="13" t="n">
        <v>0.305402650356779</v>
      </c>
    </row>
    <row r="9" customFormat="false" ht="15" hidden="false" customHeight="false" outlineLevel="0" collapsed="false">
      <c r="A9" s="11" t="s">
        <v>44</v>
      </c>
      <c r="B9" s="12" t="n">
        <v>3480</v>
      </c>
      <c r="C9" s="13" t="n">
        <v>0.504310344827586</v>
      </c>
      <c r="D9" s="14" t="n">
        <v>-657.552999999998</v>
      </c>
      <c r="E9" s="14" t="n">
        <v>-0.188952011494253</v>
      </c>
      <c r="F9" s="13" t="n">
        <v>0.428448275862069</v>
      </c>
      <c r="G9" s="14" t="n">
        <v>-659.747999999995</v>
      </c>
      <c r="H9" s="13" t="n">
        <v>0.304885057471264</v>
      </c>
      <c r="I9" s="14" t="n">
        <v>-530.763999999996</v>
      </c>
      <c r="J9" s="13" t="n">
        <v>0.495226730310263</v>
      </c>
      <c r="K9" s="13" t="n">
        <v>0.512749445676275</v>
      </c>
      <c r="L9" s="16" t="s">
        <v>42</v>
      </c>
      <c r="M9" s="13" t="n">
        <v>0.322413793103448</v>
      </c>
    </row>
    <row r="10" customFormat="false" ht="15" hidden="false" customHeight="false" outlineLevel="0" collapsed="false">
      <c r="A10" s="11" t="s">
        <v>45</v>
      </c>
      <c r="B10" s="12" t="n">
        <v>541</v>
      </c>
      <c r="C10" s="13" t="n">
        <v>0.591497227356747</v>
      </c>
      <c r="D10" s="14" t="n">
        <v>222.237</v>
      </c>
      <c r="E10" s="14" t="n">
        <v>0.410789279112754</v>
      </c>
      <c r="F10" s="13" t="n">
        <v>0.425138632162662</v>
      </c>
      <c r="G10" s="14" t="n">
        <v>-107.645</v>
      </c>
      <c r="H10" s="13" t="n">
        <v>0.310536044362292</v>
      </c>
      <c r="I10" s="14" t="n">
        <v>-76.9190000000001</v>
      </c>
      <c r="J10" s="13" t="n">
        <v>0.579335793357934</v>
      </c>
      <c r="K10" s="13" t="n">
        <v>0.603703703703704</v>
      </c>
      <c r="L10" s="15" t="s">
        <v>38</v>
      </c>
      <c r="M10" s="13" t="n">
        <v>0.321626617375231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9" min="7" style="0" width="22"/>
    <col collapsed="false" customWidth="true" hidden="false" outlineLevel="0" max="10" min="10" style="0" width="24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10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false" outlineLevel="0" collapsed="false">
      <c r="A3" s="4" t="s">
        <v>24</v>
      </c>
      <c r="B3" s="4" t="s">
        <v>47</v>
      </c>
      <c r="C3" s="4" t="s">
        <v>48</v>
      </c>
      <c r="D3" s="4" t="s">
        <v>25</v>
      </c>
      <c r="E3" s="4" t="s">
        <v>49</v>
      </c>
      <c r="F3" s="4" t="s">
        <v>50</v>
      </c>
      <c r="G3" s="4" t="s">
        <v>51</v>
      </c>
      <c r="H3" s="4" t="s">
        <v>33</v>
      </c>
      <c r="I3" s="4" t="s">
        <v>34</v>
      </c>
      <c r="J3" s="4" t="s">
        <v>52</v>
      </c>
      <c r="K3" s="4" t="s">
        <v>53</v>
      </c>
    </row>
    <row r="4" customFormat="false" ht="15" hidden="false" customHeight="false" outlineLevel="0" collapsed="false">
      <c r="A4" s="11" t="s">
        <v>37</v>
      </c>
      <c r="B4" s="17" t="s">
        <v>54</v>
      </c>
      <c r="C4" s="18" t="s">
        <v>55</v>
      </c>
      <c r="D4" s="12" t="n">
        <v>11348</v>
      </c>
      <c r="E4" s="13" t="n">
        <v>0.634737398660557</v>
      </c>
      <c r="F4" s="14" t="n">
        <v>15367.841</v>
      </c>
      <c r="G4" s="14" t="n">
        <v>1.35423343320409</v>
      </c>
      <c r="H4" s="13" t="n">
        <v>0.63582038586307</v>
      </c>
      <c r="I4" s="13" t="n">
        <v>0.633582225459843</v>
      </c>
      <c r="J4" s="13" t="n">
        <v>0.00223816040322655</v>
      </c>
      <c r="K4" s="19" t="s">
        <v>56</v>
      </c>
    </row>
    <row r="5" customFormat="false" ht="15" hidden="false" customHeight="false" outlineLevel="0" collapsed="false">
      <c r="A5" s="11" t="s">
        <v>39</v>
      </c>
      <c r="B5" s="17" t="s">
        <v>54</v>
      </c>
      <c r="C5" s="18" t="s">
        <v>55</v>
      </c>
      <c r="D5" s="12" t="n">
        <v>3767</v>
      </c>
      <c r="E5" s="13" t="n">
        <v>0.672418370055747</v>
      </c>
      <c r="F5" s="14" t="n">
        <v>2218.911</v>
      </c>
      <c r="G5" s="14" t="n">
        <v>0.589039288558535</v>
      </c>
      <c r="H5" s="13" t="n">
        <v>0.678270042194093</v>
      </c>
      <c r="I5" s="13" t="n">
        <v>0.666488508818814</v>
      </c>
      <c r="J5" s="13" t="n">
        <v>0.0117815333752793</v>
      </c>
      <c r="K5" s="19" t="s">
        <v>56</v>
      </c>
    </row>
    <row r="6" customFormat="false" ht="15" hidden="false" customHeight="false" outlineLevel="0" collapsed="false">
      <c r="A6" s="11" t="s">
        <v>40</v>
      </c>
      <c r="B6" s="17" t="s">
        <v>54</v>
      </c>
      <c r="C6" s="18" t="s">
        <v>55</v>
      </c>
      <c r="D6" s="12" t="n">
        <v>1892</v>
      </c>
      <c r="E6" s="13" t="n">
        <v>0.604651162790698</v>
      </c>
      <c r="F6" s="14" t="n">
        <v>502.108</v>
      </c>
      <c r="G6" s="14" t="n">
        <v>0.265384778012685</v>
      </c>
      <c r="H6" s="13" t="n">
        <v>0.635135135135135</v>
      </c>
      <c r="I6" s="13" t="n">
        <v>0.573118279569893</v>
      </c>
      <c r="J6" s="13" t="n">
        <v>0.0620168555652426</v>
      </c>
      <c r="K6" s="19" t="s">
        <v>56</v>
      </c>
    </row>
    <row r="7" customFormat="false" ht="15" hidden="false" customHeight="false" outlineLevel="0" collapsed="false">
      <c r="A7" s="11" t="s">
        <v>41</v>
      </c>
      <c r="B7" s="17" t="s">
        <v>57</v>
      </c>
      <c r="C7" s="18" t="s">
        <v>58</v>
      </c>
      <c r="D7" s="12" t="n">
        <v>3045</v>
      </c>
      <c r="E7" s="13" t="n">
        <v>0.263711001642036</v>
      </c>
      <c r="F7" s="14" t="n">
        <v>1125.832</v>
      </c>
      <c r="G7" s="14" t="n">
        <v>0.369731362889984</v>
      </c>
      <c r="H7" s="13" t="n">
        <v>0.275564409030545</v>
      </c>
      <c r="I7" s="13" t="n">
        <v>0.252111760883691</v>
      </c>
      <c r="J7" s="13" t="n">
        <v>0.0234526481468538</v>
      </c>
      <c r="K7" s="20" t="s">
        <v>59</v>
      </c>
    </row>
    <row r="8" customFormat="false" ht="15" hidden="false" customHeight="false" outlineLevel="0" collapsed="false">
      <c r="A8" s="11" t="s">
        <v>43</v>
      </c>
      <c r="B8" s="17" t="s">
        <v>60</v>
      </c>
      <c r="C8" s="18" t="s">
        <v>58</v>
      </c>
      <c r="D8" s="12" t="n">
        <v>1216</v>
      </c>
      <c r="E8" s="13" t="n">
        <v>0.354440789473684</v>
      </c>
      <c r="F8" s="14" t="n">
        <v>882.728</v>
      </c>
      <c r="G8" s="14" t="n">
        <v>0.725927631578948</v>
      </c>
      <c r="H8" s="13" t="n">
        <v>0.349152542372881</v>
      </c>
      <c r="I8" s="13" t="n">
        <v>0.359424920127796</v>
      </c>
      <c r="J8" s="13" t="n">
        <v>0.0102723777549142</v>
      </c>
      <c r="K8" s="20" t="s">
        <v>59</v>
      </c>
    </row>
    <row r="9" customFormat="false" ht="15" hidden="false" customHeight="false" outlineLevel="0" collapsed="false">
      <c r="A9" s="11" t="s">
        <v>44</v>
      </c>
      <c r="B9" s="17" t="s">
        <v>60</v>
      </c>
      <c r="C9" s="18" t="s">
        <v>58</v>
      </c>
      <c r="D9" s="12" t="n">
        <v>1087</v>
      </c>
      <c r="E9" s="13" t="n">
        <v>0.249310027598896</v>
      </c>
      <c r="F9" s="14" t="n">
        <v>341.931</v>
      </c>
      <c r="G9" s="14" t="n">
        <v>0.314563937442502</v>
      </c>
      <c r="H9" s="13" t="n">
        <v>0.258126195028681</v>
      </c>
      <c r="I9" s="13" t="n">
        <v>0.24113475177305</v>
      </c>
      <c r="J9" s="13" t="n">
        <v>0.016991443255631</v>
      </c>
      <c r="K9" s="20" t="s">
        <v>59</v>
      </c>
    </row>
    <row r="10" customFormat="false" ht="15" hidden="false" customHeight="false" outlineLevel="0" collapsed="false">
      <c r="A10" s="11" t="s">
        <v>45</v>
      </c>
      <c r="B10" s="17" t="s">
        <v>54</v>
      </c>
      <c r="C10" s="18" t="s">
        <v>55</v>
      </c>
      <c r="D10" s="12" t="n">
        <v>541</v>
      </c>
      <c r="E10" s="13" t="n">
        <v>0.591497227356747</v>
      </c>
      <c r="F10" s="14" t="n">
        <v>222.237</v>
      </c>
      <c r="G10" s="14" t="n">
        <v>0.410789279112754</v>
      </c>
      <c r="H10" s="13" t="n">
        <v>0.579335793357934</v>
      </c>
      <c r="I10" s="13" t="n">
        <v>0.603703703703704</v>
      </c>
      <c r="J10" s="13" t="n">
        <v>0.0243679103457701</v>
      </c>
      <c r="K10" s="20" t="s">
        <v>59</v>
      </c>
    </row>
    <row r="12" customFormat="false" ht="15" hidden="false" customHeight="false" outlineLevel="0" collapsed="false">
      <c r="A12" s="21" t="s">
        <v>61</v>
      </c>
    </row>
    <row r="13" customFormat="false" ht="15" hidden="false" customHeight="false" outlineLevel="0" collapsed="false">
      <c r="A13" s="22" t="s">
        <v>62</v>
      </c>
      <c r="B13" s="23" t="n">
        <f aca="false">SUM(D4:D10)</f>
        <v>22896</v>
      </c>
    </row>
    <row r="14" customFormat="false" ht="15" hidden="false" customHeight="false" outlineLevel="0" collapsed="false">
      <c r="A14" s="22" t="s">
        <v>50</v>
      </c>
      <c r="B14" s="24" t="n">
        <f aca="false">SUM(F4:F10)</f>
        <v>20661.588</v>
      </c>
    </row>
    <row r="15" customFormat="false" ht="15" hidden="false" customHeight="false" outlineLevel="0" collapsed="false">
      <c r="A15" s="22" t="s">
        <v>63</v>
      </c>
      <c r="B15" s="25" t="s">
        <v>64</v>
      </c>
    </row>
    <row r="16" customFormat="false" ht="15" hidden="false" customHeight="false" outlineLevel="0" collapsed="false">
      <c r="A16" s="22" t="s">
        <v>65</v>
      </c>
      <c r="B16" s="26" t="n">
        <v>0.134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27" t="s">
        <v>66</v>
      </c>
    </row>
    <row r="3" customFormat="false" ht="26.85" hidden="false" customHeight="false" outlineLevel="0" collapsed="false">
      <c r="A3" s="4"/>
      <c r="B3" s="4" t="s">
        <v>37</v>
      </c>
      <c r="C3" s="4" t="s">
        <v>39</v>
      </c>
      <c r="D3" s="4" t="s">
        <v>40</v>
      </c>
      <c r="E3" s="4" t="s">
        <v>41</v>
      </c>
      <c r="F3" s="4" t="s">
        <v>43</v>
      </c>
      <c r="G3" s="4" t="s">
        <v>44</v>
      </c>
      <c r="H3" s="4" t="s">
        <v>45</v>
      </c>
    </row>
    <row r="4" customFormat="false" ht="15" hidden="false" customHeight="false" outlineLevel="0" collapsed="false">
      <c r="A4" s="22" t="s">
        <v>37</v>
      </c>
      <c r="B4" s="28" t="n">
        <v>1</v>
      </c>
      <c r="C4" s="29" t="n">
        <v>0.508</v>
      </c>
      <c r="D4" s="29" t="n">
        <v>0.401</v>
      </c>
      <c r="E4" s="30" t="n">
        <v>0.17</v>
      </c>
      <c r="F4" s="30" t="n">
        <v>0.157</v>
      </c>
      <c r="G4" s="30" t="n">
        <v>0.188</v>
      </c>
      <c r="H4" s="30" t="n">
        <v>0.055</v>
      </c>
    </row>
    <row r="5" customFormat="false" ht="15" hidden="false" customHeight="false" outlineLevel="0" collapsed="false">
      <c r="A5" s="22" t="s">
        <v>39</v>
      </c>
      <c r="B5" s="29" t="n">
        <v>0.508</v>
      </c>
      <c r="C5" s="28" t="n">
        <v>1</v>
      </c>
      <c r="D5" s="29" t="n">
        <v>0.599</v>
      </c>
      <c r="E5" s="30" t="n">
        <v>0.251</v>
      </c>
      <c r="F5" s="30" t="n">
        <v>0.179</v>
      </c>
      <c r="G5" s="30" t="n">
        <v>0.212</v>
      </c>
      <c r="H5" s="29" t="n">
        <v>0.393</v>
      </c>
    </row>
    <row r="6" customFormat="false" ht="15" hidden="false" customHeight="false" outlineLevel="0" collapsed="false">
      <c r="A6" s="22" t="s">
        <v>40</v>
      </c>
      <c r="B6" s="29" t="n">
        <v>0.401</v>
      </c>
      <c r="C6" s="29" t="n">
        <v>0.599</v>
      </c>
      <c r="D6" s="28" t="n">
        <v>1</v>
      </c>
      <c r="E6" s="30" t="n">
        <v>0.174</v>
      </c>
      <c r="F6" s="30" t="n">
        <v>0.129</v>
      </c>
      <c r="G6" s="30" t="n">
        <v>0.134</v>
      </c>
      <c r="H6" s="30" t="n">
        <v>0.098</v>
      </c>
    </row>
    <row r="7" customFormat="false" ht="15" hidden="false" customHeight="false" outlineLevel="0" collapsed="false">
      <c r="A7" s="22" t="s">
        <v>41</v>
      </c>
      <c r="B7" s="30" t="n">
        <v>0.17</v>
      </c>
      <c r="C7" s="30" t="n">
        <v>0.251</v>
      </c>
      <c r="D7" s="30" t="n">
        <v>0.174</v>
      </c>
      <c r="E7" s="28" t="n">
        <v>1</v>
      </c>
      <c r="F7" s="30" t="n">
        <v>0.222</v>
      </c>
      <c r="G7" s="30" t="n">
        <v>0.112</v>
      </c>
      <c r="H7" s="30" t="n">
        <v>0.069</v>
      </c>
    </row>
    <row r="8" customFormat="false" ht="15" hidden="false" customHeight="false" outlineLevel="0" collapsed="false">
      <c r="A8" s="22" t="s">
        <v>43</v>
      </c>
      <c r="B8" s="30" t="n">
        <v>0.157</v>
      </c>
      <c r="C8" s="30" t="n">
        <v>0.179</v>
      </c>
      <c r="D8" s="30" t="n">
        <v>0.129</v>
      </c>
      <c r="E8" s="30" t="n">
        <v>0.222</v>
      </c>
      <c r="F8" s="28" t="n">
        <v>1</v>
      </c>
      <c r="G8" s="30" t="n">
        <v>0.19</v>
      </c>
      <c r="H8" s="30" t="n">
        <v>0.045</v>
      </c>
    </row>
    <row r="9" customFormat="false" ht="15" hidden="false" customHeight="false" outlineLevel="0" collapsed="false">
      <c r="A9" s="22" t="s">
        <v>44</v>
      </c>
      <c r="B9" s="30" t="n">
        <v>0.188</v>
      </c>
      <c r="C9" s="30" t="n">
        <v>0.212</v>
      </c>
      <c r="D9" s="30" t="n">
        <v>0.134</v>
      </c>
      <c r="E9" s="30" t="n">
        <v>0.112</v>
      </c>
      <c r="F9" s="30" t="n">
        <v>0.19</v>
      </c>
      <c r="G9" s="28" t="n">
        <v>1</v>
      </c>
      <c r="H9" s="30" t="n">
        <v>0.065</v>
      </c>
    </row>
    <row r="10" customFormat="false" ht="15" hidden="false" customHeight="false" outlineLevel="0" collapsed="false">
      <c r="A10" s="22" t="s">
        <v>45</v>
      </c>
      <c r="B10" s="30" t="n">
        <v>0.055</v>
      </c>
      <c r="C10" s="29" t="n">
        <v>0.393</v>
      </c>
      <c r="D10" s="30" t="n">
        <v>0.098</v>
      </c>
      <c r="E10" s="30" t="n">
        <v>0.069</v>
      </c>
      <c r="F10" s="30" t="n">
        <v>0.045</v>
      </c>
      <c r="G10" s="30" t="n">
        <v>0.065</v>
      </c>
      <c r="H10" s="28" t="n">
        <v>1</v>
      </c>
    </row>
    <row r="12" customFormat="false" ht="15" hidden="false" customHeight="false" outlineLevel="0" collapsed="false">
      <c r="A12" s="31" t="s">
        <v>67</v>
      </c>
    </row>
    <row r="13" customFormat="false" ht="15" hidden="false" customHeight="false" outlineLevel="0" collapsed="false">
      <c r="A13" s="32" t="s">
        <v>68</v>
      </c>
    </row>
    <row r="14" customFormat="false" ht="15" hidden="false" customHeight="false" outlineLevel="0" collapsed="false">
      <c r="A14" s="33" t="s">
        <v>69</v>
      </c>
    </row>
    <row r="15" customFormat="false" ht="15" hidden="false" customHeight="false" outlineLevel="0" collapsed="false">
      <c r="A15" s="3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27" t="s">
        <v>71</v>
      </c>
    </row>
    <row r="3" customFormat="false" ht="26.85" hidden="false" customHeight="false" outlineLevel="0" collapsed="false">
      <c r="A3" s="4" t="s">
        <v>72</v>
      </c>
      <c r="B3" s="4" t="s">
        <v>37</v>
      </c>
      <c r="C3" s="4" t="s">
        <v>39</v>
      </c>
      <c r="D3" s="4" t="s">
        <v>40</v>
      </c>
      <c r="E3" s="4" t="s">
        <v>41</v>
      </c>
      <c r="F3" s="4" t="s">
        <v>43</v>
      </c>
      <c r="G3" s="4" t="s">
        <v>44</v>
      </c>
      <c r="H3" s="4" t="s">
        <v>45</v>
      </c>
      <c r="I3" s="4" t="s">
        <v>73</v>
      </c>
    </row>
    <row r="4" customFormat="false" ht="15" hidden="false" customHeight="false" outlineLevel="0" collapsed="false">
      <c r="A4" s="22" t="s">
        <v>74</v>
      </c>
      <c r="B4" s="35" t="n">
        <v>892.3</v>
      </c>
      <c r="C4" s="35" t="n">
        <v>84.7</v>
      </c>
      <c r="D4" s="35" t="n">
        <v>32.4</v>
      </c>
      <c r="E4" s="35" t="n">
        <v>139.8</v>
      </c>
      <c r="F4" s="35" t="n">
        <v>38</v>
      </c>
      <c r="G4" s="35" t="n">
        <v>34.5</v>
      </c>
      <c r="H4" s="36" t="n">
        <v>-4</v>
      </c>
      <c r="I4" s="37" t="n">
        <f aca="false">SUM(B4:H4)</f>
        <v>1217.7</v>
      </c>
    </row>
    <row r="5" customFormat="false" ht="15" hidden="false" customHeight="false" outlineLevel="0" collapsed="false">
      <c r="A5" s="22" t="s">
        <v>75</v>
      </c>
      <c r="B5" s="35" t="n">
        <v>3073.2</v>
      </c>
      <c r="C5" s="35" t="n">
        <v>307.2</v>
      </c>
      <c r="D5" s="35" t="n">
        <v>98.6</v>
      </c>
      <c r="E5" s="35" t="n">
        <v>110.3</v>
      </c>
      <c r="F5" s="35" t="n">
        <v>63.9</v>
      </c>
      <c r="G5" s="35" t="n">
        <v>52</v>
      </c>
      <c r="H5" s="35" t="n">
        <v>6.3</v>
      </c>
      <c r="I5" s="37" t="n">
        <f aca="false">SUM(B5:H5)</f>
        <v>3711.5</v>
      </c>
    </row>
    <row r="6" customFormat="false" ht="15" hidden="false" customHeight="false" outlineLevel="0" collapsed="false">
      <c r="A6" s="22" t="s">
        <v>76</v>
      </c>
      <c r="B6" s="35" t="n">
        <v>4034.5</v>
      </c>
      <c r="C6" s="35" t="n">
        <v>519.3</v>
      </c>
      <c r="D6" s="35" t="n">
        <v>134.3</v>
      </c>
      <c r="E6" s="35" t="n">
        <v>23.8</v>
      </c>
      <c r="F6" s="35" t="n">
        <v>47.2</v>
      </c>
      <c r="G6" s="35" t="n">
        <v>19.7</v>
      </c>
      <c r="H6" s="35" t="n">
        <v>59.2</v>
      </c>
      <c r="I6" s="37" t="n">
        <f aca="false">SUM(B6:H6)</f>
        <v>4838</v>
      </c>
    </row>
    <row r="7" customFormat="false" ht="15" hidden="false" customHeight="false" outlineLevel="0" collapsed="false">
      <c r="A7" s="22" t="s">
        <v>77</v>
      </c>
      <c r="B7" s="35" t="n">
        <v>1221.3</v>
      </c>
      <c r="C7" s="35" t="n">
        <v>189.2</v>
      </c>
      <c r="D7" s="35" t="n">
        <v>39.5</v>
      </c>
      <c r="E7" s="35" t="n">
        <v>224.2</v>
      </c>
      <c r="F7" s="35" t="n">
        <v>69.2</v>
      </c>
      <c r="G7" s="35" t="n">
        <v>30.2</v>
      </c>
      <c r="H7" s="35" t="n">
        <v>11</v>
      </c>
      <c r="I7" s="37" t="n">
        <f aca="false">SUM(B7:H7)</f>
        <v>1784.6</v>
      </c>
    </row>
    <row r="8" customFormat="false" ht="15" hidden="false" customHeight="false" outlineLevel="0" collapsed="false">
      <c r="A8" s="22" t="s">
        <v>78</v>
      </c>
      <c r="B8" s="35" t="n">
        <v>309.9</v>
      </c>
      <c r="C8" s="35" t="n">
        <v>63</v>
      </c>
      <c r="D8" s="35" t="n">
        <v>15.8</v>
      </c>
      <c r="E8" s="35" t="n">
        <v>113.7</v>
      </c>
      <c r="F8" s="35" t="n">
        <v>81.8</v>
      </c>
      <c r="G8" s="35" t="n">
        <v>34.6</v>
      </c>
      <c r="H8" s="36" t="n">
        <v>-2.1</v>
      </c>
      <c r="I8" s="37" t="n">
        <f aca="false">SUM(B8:H8)</f>
        <v>616.7</v>
      </c>
    </row>
    <row r="9" customFormat="false" ht="15" hidden="false" customHeight="false" outlineLevel="0" collapsed="false">
      <c r="A9" s="22" t="s">
        <v>79</v>
      </c>
      <c r="B9" s="35" t="n">
        <v>126.7</v>
      </c>
      <c r="C9" s="35" t="n">
        <v>36.1</v>
      </c>
      <c r="D9" s="35" t="n">
        <v>15.6</v>
      </c>
      <c r="E9" s="35" t="n">
        <v>5.4</v>
      </c>
      <c r="F9" s="35" t="n">
        <v>33.6</v>
      </c>
      <c r="G9" s="35" t="n">
        <v>11.4</v>
      </c>
      <c r="H9" s="36" t="n">
        <v>-2.8</v>
      </c>
      <c r="I9" s="37" t="n">
        <f aca="false">SUM(B9:H9)</f>
        <v>226</v>
      </c>
    </row>
    <row r="10" customFormat="false" ht="15" hidden="false" customHeight="false" outlineLevel="0" collapsed="false">
      <c r="A10" s="22" t="s">
        <v>80</v>
      </c>
      <c r="B10" s="35" t="n">
        <v>355.6</v>
      </c>
      <c r="C10" s="35" t="n">
        <v>82.4</v>
      </c>
      <c r="D10" s="36" t="n">
        <v>-3.5</v>
      </c>
      <c r="E10" s="35" t="n">
        <v>1</v>
      </c>
      <c r="F10" s="35" t="n">
        <v>93</v>
      </c>
      <c r="G10" s="36" t="n">
        <v>-17.4</v>
      </c>
      <c r="H10" s="35" t="n">
        <v>3.2</v>
      </c>
      <c r="I10" s="37" t="n">
        <f aca="false">SUM(B10:H10)</f>
        <v>514.3</v>
      </c>
    </row>
    <row r="11" customFormat="false" ht="15" hidden="false" customHeight="false" outlineLevel="0" collapsed="false">
      <c r="A11" s="22" t="s">
        <v>81</v>
      </c>
      <c r="B11" s="35" t="n">
        <v>319.5</v>
      </c>
      <c r="C11" s="35" t="n">
        <v>71.8</v>
      </c>
      <c r="D11" s="35" t="n">
        <v>19.6</v>
      </c>
      <c r="E11" s="35" t="n">
        <v>131.4</v>
      </c>
      <c r="F11" s="35" t="n">
        <v>59.7</v>
      </c>
      <c r="G11" s="35" t="n">
        <v>42.1</v>
      </c>
      <c r="H11" s="35" t="n">
        <v>19.9</v>
      </c>
      <c r="I11" s="37" t="n">
        <f aca="false">SUM(B11:H11)</f>
        <v>664</v>
      </c>
    </row>
    <row r="12" customFormat="false" ht="15" hidden="false" customHeight="false" outlineLevel="0" collapsed="false">
      <c r="A12" s="22" t="s">
        <v>82</v>
      </c>
      <c r="B12" s="35" t="n">
        <v>982.9</v>
      </c>
      <c r="C12" s="35" t="n">
        <v>195.3</v>
      </c>
      <c r="D12" s="35" t="n">
        <v>44.2</v>
      </c>
      <c r="E12" s="35" t="n">
        <v>60.6</v>
      </c>
      <c r="F12" s="35" t="n">
        <v>76</v>
      </c>
      <c r="G12" s="35" t="n">
        <v>50.9</v>
      </c>
      <c r="H12" s="35" t="n">
        <v>35</v>
      </c>
      <c r="I12" s="37" t="n">
        <f aca="false">SUM(B12:H12)</f>
        <v>1444.9</v>
      </c>
    </row>
    <row r="13" customFormat="false" ht="15" hidden="false" customHeight="false" outlineLevel="0" collapsed="false">
      <c r="A13" s="22" t="s">
        <v>83</v>
      </c>
      <c r="B13" s="35" t="n">
        <v>1399.1</v>
      </c>
      <c r="C13" s="35" t="n">
        <v>280.6</v>
      </c>
      <c r="D13" s="35" t="n">
        <v>32.8</v>
      </c>
      <c r="E13" s="35" t="n">
        <v>66</v>
      </c>
      <c r="F13" s="35" t="n">
        <v>107.2</v>
      </c>
      <c r="G13" s="35" t="n">
        <v>27.2</v>
      </c>
      <c r="H13" s="35" t="n">
        <v>32.1</v>
      </c>
      <c r="I13" s="37" t="n">
        <f aca="false">SUM(B13:H13)</f>
        <v>1945</v>
      </c>
    </row>
    <row r="14" customFormat="false" ht="15" hidden="false" customHeight="false" outlineLevel="0" collapsed="false">
      <c r="A14" s="22" t="s">
        <v>84</v>
      </c>
      <c r="B14" s="35" t="n">
        <v>1110.2</v>
      </c>
      <c r="C14" s="35" t="n">
        <v>88.8</v>
      </c>
      <c r="D14" s="35" t="n">
        <v>24.8</v>
      </c>
      <c r="E14" s="35" t="n">
        <v>112.3</v>
      </c>
      <c r="F14" s="35" t="n">
        <v>63</v>
      </c>
      <c r="G14" s="36" t="n">
        <v>-6.7</v>
      </c>
      <c r="H14" s="36" t="n">
        <v>-11.9</v>
      </c>
      <c r="I14" s="37" t="n">
        <f aca="false">SUM(B14:H14)</f>
        <v>1380.5</v>
      </c>
    </row>
    <row r="15" customFormat="false" ht="15" hidden="false" customHeight="false" outlineLevel="0" collapsed="false">
      <c r="A15" s="22" t="s">
        <v>85</v>
      </c>
      <c r="B15" s="35" t="n">
        <v>746.8</v>
      </c>
      <c r="C15" s="35" t="n">
        <v>153.1</v>
      </c>
      <c r="D15" s="35" t="n">
        <v>15.3</v>
      </c>
      <c r="E15" s="35" t="n">
        <v>128.7</v>
      </c>
      <c r="F15" s="35" t="n">
        <v>106.8</v>
      </c>
      <c r="G15" s="35" t="n">
        <v>28.7</v>
      </c>
      <c r="H15" s="35" t="n">
        <v>38.5</v>
      </c>
      <c r="I15" s="37" t="n">
        <f aca="false">SUM(B15:H15)</f>
        <v>1217.9</v>
      </c>
    </row>
    <row r="16" customFormat="false" ht="15" hidden="false" customHeight="false" outlineLevel="0" collapsed="false">
      <c r="A16" s="22" t="s">
        <v>86</v>
      </c>
      <c r="B16" s="35" t="n">
        <v>795.9</v>
      </c>
      <c r="C16" s="35" t="n">
        <v>147.3</v>
      </c>
      <c r="D16" s="35" t="n">
        <v>32.8</v>
      </c>
      <c r="E16" s="35" t="n">
        <v>8.7</v>
      </c>
      <c r="F16" s="35" t="n">
        <v>43.3</v>
      </c>
      <c r="G16" s="35" t="n">
        <v>34.6</v>
      </c>
      <c r="H16" s="35" t="n">
        <v>37.7</v>
      </c>
      <c r="I16" s="37" t="n">
        <f aca="false">SUM(B16:H16)</f>
        <v>1100.3</v>
      </c>
    </row>
    <row r="17" customFormat="false" ht="15" hidden="false" customHeight="false" outlineLevel="0" collapsed="false">
      <c r="A17" s="38" t="s">
        <v>73</v>
      </c>
      <c r="B17" s="39" t="n">
        <f aca="false">SUM(B4:B16)</f>
        <v>15367.9</v>
      </c>
      <c r="C17" s="39" t="n">
        <f aca="false">SUM(C4:C16)</f>
        <v>2218.8</v>
      </c>
      <c r="D17" s="39" t="n">
        <f aca="false">SUM(D4:D16)</f>
        <v>502.2</v>
      </c>
      <c r="E17" s="39" t="n">
        <f aca="false">SUM(E4:E16)</f>
        <v>1125.9</v>
      </c>
      <c r="F17" s="39" t="n">
        <f aca="false">SUM(F4:F16)</f>
        <v>882.7</v>
      </c>
      <c r="G17" s="39" t="n">
        <f aca="false">SUM(G4:G16)</f>
        <v>341.8</v>
      </c>
      <c r="H17" s="39" t="n">
        <f aca="false">SUM(H4:H16)</f>
        <v>222.1</v>
      </c>
      <c r="I17" s="39" t="n">
        <f aca="false">SUM(I4:I16)</f>
        <v>20661.4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4" min="3" style="0" width="22"/>
    <col collapsed="false" customWidth="true" hidden="false" outlineLevel="0" max="5" min="5" style="0" width="23"/>
    <col collapsed="false" customWidth="true" hidden="false" outlineLevel="0" max="6" min="6" style="0" width="22"/>
    <col collapsed="false" customWidth="true" hidden="false" outlineLevel="0" max="8" min="7" style="0" width="23"/>
    <col collapsed="false" customWidth="true" hidden="false" outlineLevel="0" max="9" min="9" style="0" width="24"/>
    <col collapsed="false" customWidth="true" hidden="false" outlineLevel="0" max="10" min="10" style="0" width="19"/>
    <col collapsed="false" customWidth="true" hidden="false" outlineLevel="0" max="11" min="11" style="0" width="21"/>
  </cols>
  <sheetData>
    <row r="1" customFormat="false" ht="17.35" hidden="false" customHeight="false" outlineLevel="0" collapsed="false">
      <c r="A1" s="27" t="s">
        <v>87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26</v>
      </c>
      <c r="D3" s="4" t="s">
        <v>29</v>
      </c>
      <c r="E3" s="4" t="s">
        <v>88</v>
      </c>
      <c r="F3" s="4" t="s">
        <v>89</v>
      </c>
      <c r="G3" s="4" t="s">
        <v>90</v>
      </c>
      <c r="H3" s="4" t="s">
        <v>91</v>
      </c>
      <c r="I3" s="4" t="s">
        <v>92</v>
      </c>
      <c r="J3" s="4" t="s">
        <v>93</v>
      </c>
      <c r="K3" s="4" t="s">
        <v>94</v>
      </c>
    </row>
    <row r="4" customFormat="false" ht="15" hidden="false" customHeight="false" outlineLevel="0" collapsed="false">
      <c r="A4" s="11" t="s">
        <v>37</v>
      </c>
      <c r="B4" s="12" t="n">
        <v>11348</v>
      </c>
      <c r="C4" s="13" t="n">
        <v>0.634737398660557</v>
      </c>
      <c r="D4" s="13" t="n">
        <v>0.397074374339091</v>
      </c>
      <c r="E4" s="13" t="n">
        <v>0.237663024321466</v>
      </c>
      <c r="F4" s="13" t="n">
        <v>0.194307366936905</v>
      </c>
      <c r="G4" s="14" t="n">
        <v>1.35423343320409</v>
      </c>
      <c r="H4" s="14" t="n">
        <v>-0.259622841029256</v>
      </c>
      <c r="I4" s="14" t="n">
        <v>1.61385627423335</v>
      </c>
      <c r="J4" s="12" t="n">
        <v>3353</v>
      </c>
      <c r="K4" s="14" t="n">
        <v>17461.4340000001</v>
      </c>
    </row>
    <row r="5" customFormat="false" ht="15" hidden="false" customHeight="false" outlineLevel="0" collapsed="false">
      <c r="A5" s="11" t="s">
        <v>39</v>
      </c>
      <c r="B5" s="12" t="n">
        <v>3767</v>
      </c>
      <c r="C5" s="13" t="n">
        <v>0.672418370055747</v>
      </c>
      <c r="D5" s="13" t="n">
        <v>0.380408813379347</v>
      </c>
      <c r="E5" s="13" t="n">
        <v>0.2920095566764</v>
      </c>
      <c r="F5" s="13" t="n">
        <v>0.302628086010088</v>
      </c>
      <c r="G5" s="14" t="n">
        <v>0.589039288558535</v>
      </c>
      <c r="H5" s="14" t="n">
        <v>-0.289558534642952</v>
      </c>
      <c r="I5" s="14" t="n">
        <v>0.878597823201487</v>
      </c>
      <c r="J5" s="12" t="n">
        <v>523</v>
      </c>
      <c r="K5" s="14" t="n">
        <v>2452.972</v>
      </c>
    </row>
    <row r="6" customFormat="false" ht="15" hidden="false" customHeight="false" outlineLevel="0" collapsed="false">
      <c r="A6" s="11" t="s">
        <v>40</v>
      </c>
      <c r="B6" s="12" t="n">
        <v>1892</v>
      </c>
      <c r="C6" s="13" t="n">
        <v>0.604651162790698</v>
      </c>
      <c r="D6" s="13" t="n">
        <v>0.503171247357294</v>
      </c>
      <c r="E6" s="13" t="n">
        <v>0.101479915433404</v>
      </c>
      <c r="F6" s="13" t="n">
        <v>0.34830866807611</v>
      </c>
      <c r="G6" s="14" t="n">
        <v>0.265384778012685</v>
      </c>
      <c r="H6" s="14" t="n">
        <v>-0.0265739957716702</v>
      </c>
      <c r="I6" s="14" t="n">
        <v>0.291958773784355</v>
      </c>
      <c r="J6" s="12" t="n">
        <v>190</v>
      </c>
      <c r="K6" s="14" t="n">
        <v>892.621999999999</v>
      </c>
    </row>
    <row r="7" customFormat="false" ht="15" hidden="false" customHeight="false" outlineLevel="0" collapsed="false">
      <c r="A7" s="11" t="s">
        <v>41</v>
      </c>
      <c r="B7" s="12" t="n">
        <v>8390</v>
      </c>
      <c r="C7" s="13" t="n">
        <v>0.474851013110846</v>
      </c>
      <c r="D7" s="13" t="n">
        <v>0.456376638855781</v>
      </c>
      <c r="E7" s="13" t="n">
        <v>0.0184743742550656</v>
      </c>
      <c r="F7" s="13" t="n">
        <v>0.33015494636472</v>
      </c>
      <c r="G7" s="14" t="n">
        <v>-0.313464600715137</v>
      </c>
      <c r="H7" s="14" t="n">
        <v>-0.111372348033373</v>
      </c>
      <c r="I7" s="14" t="n">
        <v>-0.202092252681764</v>
      </c>
      <c r="J7" s="12" t="n">
        <v>204</v>
      </c>
      <c r="K7" s="14" t="n">
        <v>588.678</v>
      </c>
    </row>
    <row r="8" customFormat="false" ht="15" hidden="false" customHeight="false" outlineLevel="0" collapsed="false">
      <c r="A8" s="11" t="s">
        <v>43</v>
      </c>
      <c r="B8" s="12" t="n">
        <v>4905</v>
      </c>
      <c r="C8" s="13" t="n">
        <v>0.475433231396534</v>
      </c>
      <c r="D8" s="13" t="n">
        <v>0.467482161060143</v>
      </c>
      <c r="E8" s="13" t="n">
        <v>0.00795107033639142</v>
      </c>
      <c r="F8" s="13" t="n">
        <v>0.305402650356779</v>
      </c>
      <c r="G8" s="14" t="n">
        <v>-0.286379816513762</v>
      </c>
      <c r="H8" s="14" t="n">
        <v>-0.0874844036697248</v>
      </c>
      <c r="I8" s="14" t="n">
        <v>-0.198895412844037</v>
      </c>
      <c r="J8" s="12" t="n">
        <v>115</v>
      </c>
      <c r="K8" s="14" t="n">
        <v>316.459</v>
      </c>
    </row>
    <row r="9" customFormat="false" ht="15" hidden="false" customHeight="false" outlineLevel="0" collapsed="false">
      <c r="A9" s="11" t="s">
        <v>44</v>
      </c>
      <c r="B9" s="12" t="n">
        <v>3480</v>
      </c>
      <c r="C9" s="13" t="n">
        <v>0.504310344827586</v>
      </c>
      <c r="D9" s="13" t="n">
        <v>0.428448275862069</v>
      </c>
      <c r="E9" s="13" t="n">
        <v>0.0758620689655172</v>
      </c>
      <c r="F9" s="13" t="n">
        <v>0.322413793103448</v>
      </c>
      <c r="G9" s="14" t="n">
        <v>-0.188952011494253</v>
      </c>
      <c r="H9" s="14" t="n">
        <v>-0.18958275862069</v>
      </c>
      <c r="I9" s="14" t="n">
        <v>0.000630747126436793</v>
      </c>
      <c r="J9" s="12" t="n">
        <v>168</v>
      </c>
      <c r="K9" s="14" t="n">
        <v>610.661</v>
      </c>
    </row>
    <row r="10" customFormat="false" ht="15" hidden="false" customHeight="false" outlineLevel="0" collapsed="false">
      <c r="A10" s="11" t="s">
        <v>45</v>
      </c>
      <c r="B10" s="12" t="n">
        <v>541</v>
      </c>
      <c r="C10" s="13" t="n">
        <v>0.591497227356747</v>
      </c>
      <c r="D10" s="13" t="n">
        <v>0.425138632162662</v>
      </c>
      <c r="E10" s="13" t="n">
        <v>0.166358595194085</v>
      </c>
      <c r="F10" s="13" t="n">
        <v>0.321626617375231</v>
      </c>
      <c r="G10" s="14" t="n">
        <v>0.410789279112754</v>
      </c>
      <c r="H10" s="14" t="n">
        <v>-0.198974121996303</v>
      </c>
      <c r="I10" s="14" t="n">
        <v>0.609763401109057</v>
      </c>
      <c r="J10" s="12" t="n">
        <v>77</v>
      </c>
      <c r="K10" s="14" t="n">
        <v>366.139</v>
      </c>
    </row>
    <row r="12" customFormat="false" ht="45" hidden="false" customHeight="true" outlineLevel="0" collapsed="false">
      <c r="A12" s="40" t="s">
        <v>95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</row>
  </sheetData>
  <mergeCells count="1">
    <mergeCell ref="A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41" t="s">
        <v>96</v>
      </c>
    </row>
    <row r="3" customFormat="false" ht="26.85" hidden="false" customHeight="false" outlineLevel="0" collapsed="false">
      <c r="A3" s="4" t="s">
        <v>97</v>
      </c>
      <c r="B3" s="4" t="s">
        <v>98</v>
      </c>
      <c r="C3" s="4" t="s">
        <v>99</v>
      </c>
      <c r="D3" s="4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 t="s">
        <v>105</v>
      </c>
    </row>
    <row r="4" customFormat="false" ht="15" hidden="false" customHeight="false" outlineLevel="0" collapsed="false">
      <c r="A4" s="11" t="s">
        <v>106</v>
      </c>
      <c r="B4" s="12" t="n">
        <v>2035</v>
      </c>
      <c r="C4" s="13" t="n">
        <v>0.911</v>
      </c>
      <c r="D4" s="14" t="n">
        <v>2046.5</v>
      </c>
      <c r="E4" s="12" t="n">
        <v>340</v>
      </c>
      <c r="F4" s="13" t="n">
        <v>0.376</v>
      </c>
      <c r="G4" s="14" t="n">
        <v>-110</v>
      </c>
      <c r="H4" s="13" t="n">
        <v>-0.535</v>
      </c>
      <c r="I4" s="16" t="s">
        <v>107</v>
      </c>
    </row>
    <row r="5" customFormat="false" ht="15" hidden="false" customHeight="false" outlineLevel="0" collapsed="false">
      <c r="A5" s="11" t="s">
        <v>108</v>
      </c>
      <c r="B5" s="12" t="n">
        <v>1932</v>
      </c>
      <c r="C5" s="13" t="n">
        <v>0.925</v>
      </c>
      <c r="D5" s="18"/>
      <c r="E5" s="18"/>
      <c r="F5" s="18"/>
      <c r="G5" s="18"/>
      <c r="H5" s="18"/>
      <c r="I5" s="18" t="s">
        <v>109</v>
      </c>
    </row>
    <row r="6" customFormat="false" ht="15" hidden="false" customHeight="false" outlineLevel="0" collapsed="false">
      <c r="A6" s="11" t="s">
        <v>110</v>
      </c>
      <c r="B6" s="12" t="n">
        <v>1620</v>
      </c>
      <c r="C6" s="13" t="n">
        <v>0.742</v>
      </c>
      <c r="D6" s="18"/>
      <c r="E6" s="18"/>
      <c r="F6" s="18"/>
      <c r="G6" s="18"/>
      <c r="H6" s="18"/>
      <c r="I6" s="18" t="s">
        <v>109</v>
      </c>
    </row>
    <row r="7" customFormat="false" ht="15" hidden="false" customHeight="false" outlineLevel="0" collapsed="false">
      <c r="A7" s="11" t="s">
        <v>111</v>
      </c>
      <c r="B7" s="12" t="n">
        <v>2547</v>
      </c>
      <c r="C7" s="13" t="n">
        <v>0.882</v>
      </c>
      <c r="D7" s="18"/>
      <c r="E7" s="18"/>
      <c r="F7" s="18"/>
      <c r="G7" s="18"/>
      <c r="H7" s="18"/>
      <c r="I7" s="18" t="s">
        <v>109</v>
      </c>
    </row>
    <row r="9" customFormat="false" ht="45" hidden="false" customHeight="true" outlineLevel="0" collapsed="false">
      <c r="A9" s="42" t="s">
        <v>112</v>
      </c>
      <c r="B9" s="42"/>
      <c r="C9" s="42"/>
      <c r="D9" s="42"/>
      <c r="E9" s="42"/>
      <c r="F9" s="42"/>
      <c r="G9" s="42"/>
      <c r="H9" s="42"/>
      <c r="I9" s="42"/>
    </row>
  </sheetData>
  <mergeCells count="1"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1"/>
    <col collapsed="false" customWidth="true" hidden="false" outlineLevel="0" max="5" min="5" style="0" width="10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27" t="s">
        <v>113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</row>
    <row r="4" customFormat="false" ht="15" hidden="false" customHeight="false" outlineLevel="0" collapsed="false">
      <c r="A4" s="11" t="s">
        <v>37</v>
      </c>
      <c r="B4" s="12" t="n">
        <v>11348</v>
      </c>
      <c r="C4" s="12" t="n">
        <v>257</v>
      </c>
      <c r="D4" s="43" t="n">
        <v>44.1556420233463</v>
      </c>
      <c r="E4" s="12" t="n">
        <v>156</v>
      </c>
      <c r="F4" s="13" t="n">
        <v>0.0389105058365759</v>
      </c>
      <c r="G4" s="13" t="n">
        <v>0.572855778986049</v>
      </c>
      <c r="H4" s="19" t="s">
        <v>120</v>
      </c>
    </row>
    <row r="5" customFormat="false" ht="15" hidden="false" customHeight="false" outlineLevel="0" collapsed="false">
      <c r="A5" s="11" t="s">
        <v>39</v>
      </c>
      <c r="B5" s="12" t="n">
        <v>3767</v>
      </c>
      <c r="C5" s="12" t="n">
        <v>257</v>
      </c>
      <c r="D5" s="43" t="n">
        <v>14.6575875486381</v>
      </c>
      <c r="E5" s="12" t="n">
        <v>38</v>
      </c>
      <c r="F5" s="13" t="n">
        <v>0.0194552529182879</v>
      </c>
      <c r="G5" s="13" t="n">
        <v>0.5366814685096</v>
      </c>
      <c r="H5" s="19" t="s">
        <v>120</v>
      </c>
    </row>
    <row r="6" customFormat="false" ht="15" hidden="false" customHeight="false" outlineLevel="0" collapsed="false">
      <c r="A6" s="11" t="s">
        <v>40</v>
      </c>
      <c r="B6" s="12" t="n">
        <v>1892</v>
      </c>
      <c r="C6" s="12" t="n">
        <v>256</v>
      </c>
      <c r="D6" s="43" t="n">
        <v>7.390625</v>
      </c>
      <c r="E6" s="12" t="n">
        <v>18</v>
      </c>
      <c r="F6" s="13" t="n">
        <v>0.08203125</v>
      </c>
      <c r="G6" s="13" t="n">
        <v>0.497692899256601</v>
      </c>
      <c r="H6" s="15" t="s">
        <v>121</v>
      </c>
    </row>
    <row r="7" customFormat="false" ht="15" hidden="false" customHeight="false" outlineLevel="0" collapsed="false">
      <c r="A7" s="11" t="s">
        <v>41</v>
      </c>
      <c r="B7" s="12" t="n">
        <v>8390</v>
      </c>
      <c r="C7" s="12" t="n">
        <v>258</v>
      </c>
      <c r="D7" s="43" t="n">
        <v>32.5193798449612</v>
      </c>
      <c r="E7" s="12" t="n">
        <v>70</v>
      </c>
      <c r="F7" s="13" t="n">
        <v>0.00387596899224806</v>
      </c>
      <c r="G7" s="13" t="n">
        <v>0.513995013813085</v>
      </c>
      <c r="H7" s="15" t="s">
        <v>121</v>
      </c>
    </row>
    <row r="8" customFormat="false" ht="15" hidden="false" customHeight="false" outlineLevel="0" collapsed="false">
      <c r="A8" s="11" t="s">
        <v>43</v>
      </c>
      <c r="B8" s="12" t="n">
        <v>4905</v>
      </c>
      <c r="C8" s="12" t="n">
        <v>258</v>
      </c>
      <c r="D8" s="43" t="n">
        <v>19.0116279069768</v>
      </c>
      <c r="E8" s="12" t="n">
        <v>38</v>
      </c>
      <c r="F8" s="13" t="n">
        <v>0.00387596899224806</v>
      </c>
      <c r="G8" s="13" t="n">
        <v>0.51196191075785</v>
      </c>
      <c r="H8" s="15" t="s">
        <v>121</v>
      </c>
    </row>
    <row r="9" customFormat="false" ht="15" hidden="false" customHeight="false" outlineLevel="0" collapsed="false">
      <c r="A9" s="11" t="s">
        <v>44</v>
      </c>
      <c r="B9" s="12" t="n">
        <v>3480</v>
      </c>
      <c r="C9" s="12" t="n">
        <v>258</v>
      </c>
      <c r="D9" s="43" t="n">
        <v>13.4883720930233</v>
      </c>
      <c r="E9" s="12" t="n">
        <v>26</v>
      </c>
      <c r="F9" s="13" t="n">
        <v>0</v>
      </c>
      <c r="G9" s="13" t="n">
        <v>0.512230215827338</v>
      </c>
      <c r="H9" s="15" t="s">
        <v>121</v>
      </c>
    </row>
    <row r="10" customFormat="false" ht="15" hidden="false" customHeight="false" outlineLevel="0" collapsed="false">
      <c r="A10" s="11" t="s">
        <v>45</v>
      </c>
      <c r="B10" s="12" t="n">
        <v>541</v>
      </c>
      <c r="C10" s="12" t="n">
        <v>178</v>
      </c>
      <c r="D10" s="43" t="n">
        <v>3.03932584269663</v>
      </c>
      <c r="E10" s="12" t="n">
        <v>12</v>
      </c>
      <c r="F10" s="13" t="n">
        <v>0.432584269662921</v>
      </c>
      <c r="G10" s="13" t="n">
        <v>0.774633123689728</v>
      </c>
      <c r="H10" s="1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7" min="6" style="0" width="21"/>
    <col collapsed="false" customWidth="true" hidden="false" outlineLevel="0" max="8" min="8" style="0" width="23"/>
    <col collapsed="false" customWidth="true" hidden="false" outlineLevel="0" max="10" min="9" style="0" width="21"/>
  </cols>
  <sheetData>
    <row r="1" customFormat="false" ht="17.35" hidden="false" customHeight="false" outlineLevel="0" collapsed="false">
      <c r="A1" s="27" t="s">
        <v>123</v>
      </c>
    </row>
    <row r="3" customFormat="false" ht="15" hidden="false" customHeight="false" outlineLevel="0" collapsed="false">
      <c r="A3" s="4" t="s">
        <v>53</v>
      </c>
      <c r="B3" s="4" t="s">
        <v>24</v>
      </c>
      <c r="C3" s="4" t="s">
        <v>47</v>
      </c>
      <c r="D3" s="4" t="s">
        <v>48</v>
      </c>
      <c r="E3" s="4" t="s">
        <v>25</v>
      </c>
      <c r="F3" s="4" t="s">
        <v>49</v>
      </c>
      <c r="G3" s="4" t="s">
        <v>50</v>
      </c>
      <c r="H3" s="4" t="s">
        <v>51</v>
      </c>
      <c r="I3" s="4" t="s">
        <v>124</v>
      </c>
      <c r="J3" s="4" t="s">
        <v>125</v>
      </c>
    </row>
    <row r="4" customFormat="false" ht="15" hidden="false" customHeight="false" outlineLevel="0" collapsed="false">
      <c r="A4" s="44" t="s">
        <v>126</v>
      </c>
      <c r="B4" s="17" t="s">
        <v>43</v>
      </c>
      <c r="C4" s="17" t="s">
        <v>127</v>
      </c>
      <c r="D4" s="18" t="s">
        <v>128</v>
      </c>
      <c r="E4" s="12" t="n">
        <v>115</v>
      </c>
      <c r="F4" s="13" t="n">
        <v>0.973913043478261</v>
      </c>
      <c r="G4" s="14" t="n">
        <v>52.934</v>
      </c>
      <c r="H4" s="14" t="n">
        <v>0.460295652173913</v>
      </c>
      <c r="I4" s="13" t="n">
        <v>0.96551724137931</v>
      </c>
      <c r="J4" s="13" t="n">
        <v>0.982456140350877</v>
      </c>
    </row>
    <row r="5" customFormat="false" ht="15" hidden="false" customHeight="false" outlineLevel="0" collapsed="false">
      <c r="A5" s="44" t="s">
        <v>126</v>
      </c>
      <c r="B5" s="17" t="s">
        <v>43</v>
      </c>
      <c r="C5" s="17" t="s">
        <v>127</v>
      </c>
      <c r="D5" s="18" t="s">
        <v>129</v>
      </c>
      <c r="E5" s="12" t="n">
        <v>115</v>
      </c>
      <c r="F5" s="13" t="n">
        <v>0.973913043478261</v>
      </c>
      <c r="G5" s="14" t="n">
        <v>80.934</v>
      </c>
      <c r="H5" s="14" t="n">
        <v>0.703773913043478</v>
      </c>
      <c r="I5" s="13" t="n">
        <v>0.96551724137931</v>
      </c>
      <c r="J5" s="13" t="n">
        <v>0.982456140350877</v>
      </c>
    </row>
    <row r="6" customFormat="false" ht="15" hidden="false" customHeight="false" outlineLevel="0" collapsed="false">
      <c r="A6" s="44" t="s">
        <v>126</v>
      </c>
      <c r="B6" s="17" t="s">
        <v>43</v>
      </c>
      <c r="C6" s="17" t="s">
        <v>130</v>
      </c>
      <c r="D6" s="18" t="s">
        <v>128</v>
      </c>
      <c r="E6" s="12" t="n">
        <v>65</v>
      </c>
      <c r="F6" s="13" t="n">
        <v>0.969230769230769</v>
      </c>
      <c r="G6" s="14" t="n">
        <v>30.183</v>
      </c>
      <c r="H6" s="14" t="n">
        <v>0.464353846153846</v>
      </c>
      <c r="I6" s="13" t="n">
        <v>0.962962962962963</v>
      </c>
      <c r="J6" s="13" t="n">
        <v>0.973684210526316</v>
      </c>
    </row>
    <row r="7" customFormat="false" ht="15" hidden="false" customHeight="false" outlineLevel="0" collapsed="false">
      <c r="A7" s="44" t="s">
        <v>126</v>
      </c>
      <c r="B7" s="17" t="s">
        <v>43</v>
      </c>
      <c r="C7" s="17" t="s">
        <v>130</v>
      </c>
      <c r="D7" s="18" t="s">
        <v>129</v>
      </c>
      <c r="E7" s="12" t="n">
        <v>65</v>
      </c>
      <c r="F7" s="13" t="n">
        <v>0.969230769230769</v>
      </c>
      <c r="G7" s="14" t="n">
        <v>45.933</v>
      </c>
      <c r="H7" s="14" t="n">
        <v>0.706661538461539</v>
      </c>
      <c r="I7" s="13" t="n">
        <v>0.962962962962963</v>
      </c>
      <c r="J7" s="13" t="n">
        <v>0.973684210526316</v>
      </c>
    </row>
    <row r="8" customFormat="false" ht="15" hidden="false" customHeight="false" outlineLevel="0" collapsed="false">
      <c r="A8" s="44" t="s">
        <v>126</v>
      </c>
      <c r="B8" s="17" t="s">
        <v>43</v>
      </c>
      <c r="C8" s="17" t="s">
        <v>131</v>
      </c>
      <c r="D8" s="18" t="s">
        <v>128</v>
      </c>
      <c r="E8" s="12" t="n">
        <v>155</v>
      </c>
      <c r="F8" s="13" t="n">
        <v>0.948387096774194</v>
      </c>
      <c r="G8" s="14" t="n">
        <v>65.313</v>
      </c>
      <c r="H8" s="14" t="n">
        <v>0.421374193548387</v>
      </c>
      <c r="I8" s="13" t="n">
        <v>0.924050632911392</v>
      </c>
      <c r="J8" s="13" t="n">
        <v>0.973684210526316</v>
      </c>
    </row>
    <row r="9" customFormat="false" ht="15" hidden="false" customHeight="false" outlineLevel="0" collapsed="false">
      <c r="A9" s="44" t="s">
        <v>126</v>
      </c>
      <c r="B9" s="17" t="s">
        <v>43</v>
      </c>
      <c r="C9" s="17" t="s">
        <v>132</v>
      </c>
      <c r="D9" s="18" t="s">
        <v>128</v>
      </c>
      <c r="E9" s="12" t="n">
        <v>155</v>
      </c>
      <c r="F9" s="13" t="n">
        <v>0.948387096774194</v>
      </c>
      <c r="G9" s="14" t="n">
        <v>65.313</v>
      </c>
      <c r="H9" s="14" t="n">
        <v>0.421374193548387</v>
      </c>
      <c r="I9" s="13" t="n">
        <v>0.924050632911392</v>
      </c>
      <c r="J9" s="13" t="n">
        <v>0.973684210526316</v>
      </c>
    </row>
    <row r="10" customFormat="false" ht="15" hidden="false" customHeight="false" outlineLevel="0" collapsed="false">
      <c r="A10" s="44" t="s">
        <v>126</v>
      </c>
      <c r="B10" s="17" t="s">
        <v>43</v>
      </c>
      <c r="C10" s="17" t="s">
        <v>133</v>
      </c>
      <c r="D10" s="18" t="s">
        <v>128</v>
      </c>
      <c r="E10" s="12" t="n">
        <v>230</v>
      </c>
      <c r="F10" s="13" t="n">
        <v>0.947826086956522</v>
      </c>
      <c r="G10" s="14" t="n">
        <v>96.501</v>
      </c>
      <c r="H10" s="14" t="n">
        <v>0.419569565217391</v>
      </c>
      <c r="I10" s="13" t="n">
        <v>0.9375</v>
      </c>
      <c r="J10" s="13" t="n">
        <v>0.957627118644068</v>
      </c>
    </row>
    <row r="11" customFormat="false" ht="15" hidden="false" customHeight="false" outlineLevel="0" collapsed="false">
      <c r="A11" s="44" t="s">
        <v>126</v>
      </c>
      <c r="B11" s="17" t="s">
        <v>43</v>
      </c>
      <c r="C11" s="17" t="s">
        <v>127</v>
      </c>
      <c r="D11" s="18" t="s">
        <v>134</v>
      </c>
      <c r="E11" s="12" t="n">
        <v>115</v>
      </c>
      <c r="F11" s="13" t="n">
        <v>0.947826086956522</v>
      </c>
      <c r="G11" s="14" t="n">
        <v>102.39</v>
      </c>
      <c r="H11" s="14" t="n">
        <v>0.890347826086957</v>
      </c>
      <c r="I11" s="13" t="n">
        <v>0.948275862068966</v>
      </c>
      <c r="J11" s="13" t="n">
        <v>0.947368421052632</v>
      </c>
    </row>
    <row r="12" customFormat="false" ht="15" hidden="false" customHeight="false" outlineLevel="0" collapsed="false">
      <c r="A12" s="44" t="s">
        <v>126</v>
      </c>
      <c r="B12" s="17" t="s">
        <v>43</v>
      </c>
      <c r="C12" s="17" t="s">
        <v>127</v>
      </c>
      <c r="D12" s="18" t="s">
        <v>55</v>
      </c>
      <c r="E12" s="12" t="n">
        <v>115</v>
      </c>
      <c r="F12" s="13" t="n">
        <v>0.947826086956522</v>
      </c>
      <c r="G12" s="14" t="n">
        <v>69.43</v>
      </c>
      <c r="H12" s="14" t="n">
        <v>0.603739130434783</v>
      </c>
      <c r="I12" s="13" t="n">
        <v>0.948275862068966</v>
      </c>
      <c r="J12" s="13" t="n">
        <v>0.947368421052632</v>
      </c>
    </row>
    <row r="13" customFormat="false" ht="15" hidden="false" customHeight="false" outlineLevel="0" collapsed="false">
      <c r="A13" s="44" t="s">
        <v>126</v>
      </c>
      <c r="B13" s="17" t="s">
        <v>43</v>
      </c>
      <c r="C13" s="17" t="s">
        <v>130</v>
      </c>
      <c r="D13" s="18" t="s">
        <v>134</v>
      </c>
      <c r="E13" s="12" t="n">
        <v>65</v>
      </c>
      <c r="F13" s="13" t="n">
        <v>0.938461538461539</v>
      </c>
      <c r="G13" s="14" t="n">
        <v>57.633</v>
      </c>
      <c r="H13" s="14" t="n">
        <v>0.886661538461539</v>
      </c>
      <c r="I13" s="13" t="n">
        <v>0.925925925925926</v>
      </c>
      <c r="J13" s="13" t="n">
        <v>0.947368421052632</v>
      </c>
    </row>
    <row r="14" customFormat="false" ht="15" hidden="false" customHeight="false" outlineLevel="0" collapsed="false">
      <c r="A14" s="44" t="s">
        <v>126</v>
      </c>
      <c r="B14" s="17" t="s">
        <v>43</v>
      </c>
      <c r="C14" s="17" t="s">
        <v>130</v>
      </c>
      <c r="D14" s="18" t="s">
        <v>55</v>
      </c>
      <c r="E14" s="12" t="n">
        <v>65</v>
      </c>
      <c r="F14" s="13" t="n">
        <v>0.938461538461539</v>
      </c>
      <c r="G14" s="14" t="n">
        <v>37.573</v>
      </c>
      <c r="H14" s="14" t="n">
        <v>0.578046153846154</v>
      </c>
      <c r="I14" s="13" t="n">
        <v>0.925925925925926</v>
      </c>
      <c r="J14" s="13" t="n">
        <v>0.947368421052632</v>
      </c>
    </row>
    <row r="15" customFormat="false" ht="15" hidden="false" customHeight="false" outlineLevel="0" collapsed="false">
      <c r="A15" s="44" t="s">
        <v>126</v>
      </c>
      <c r="B15" s="17" t="s">
        <v>43</v>
      </c>
      <c r="C15" s="17" t="s">
        <v>131</v>
      </c>
      <c r="D15" s="18" t="s">
        <v>129</v>
      </c>
      <c r="E15" s="12" t="n">
        <v>155</v>
      </c>
      <c r="F15" s="13" t="n">
        <v>0.935483870967742</v>
      </c>
      <c r="G15" s="14" t="n">
        <v>98.525</v>
      </c>
      <c r="H15" s="14" t="n">
        <v>0.635645161290323</v>
      </c>
      <c r="I15" s="13" t="n">
        <v>0.924050632911392</v>
      </c>
      <c r="J15" s="13" t="n">
        <v>0.947368421052632</v>
      </c>
    </row>
    <row r="16" customFormat="false" ht="15" hidden="false" customHeight="false" outlineLevel="0" collapsed="false">
      <c r="A16" s="44" t="s">
        <v>126</v>
      </c>
      <c r="B16" s="17" t="s">
        <v>43</v>
      </c>
      <c r="C16" s="17" t="s">
        <v>132</v>
      </c>
      <c r="D16" s="18" t="s">
        <v>129</v>
      </c>
      <c r="E16" s="12" t="n">
        <v>155</v>
      </c>
      <c r="F16" s="13" t="n">
        <v>0.935483870967742</v>
      </c>
      <c r="G16" s="14" t="n">
        <v>98.525</v>
      </c>
      <c r="H16" s="14" t="n">
        <v>0.635645161290323</v>
      </c>
      <c r="I16" s="13" t="n">
        <v>0.924050632911392</v>
      </c>
      <c r="J16" s="13" t="n">
        <v>0.947368421052632</v>
      </c>
    </row>
    <row r="17" customFormat="false" ht="15" hidden="false" customHeight="false" outlineLevel="0" collapsed="false">
      <c r="A17" s="44" t="s">
        <v>126</v>
      </c>
      <c r="B17" s="17" t="s">
        <v>43</v>
      </c>
      <c r="C17" s="17" t="s">
        <v>133</v>
      </c>
      <c r="D17" s="18" t="s">
        <v>129</v>
      </c>
      <c r="E17" s="12" t="n">
        <v>230</v>
      </c>
      <c r="F17" s="13" t="n">
        <v>0.930434782608696</v>
      </c>
      <c r="G17" s="14" t="n">
        <v>143.89</v>
      </c>
      <c r="H17" s="14" t="n">
        <v>0.625608695652174</v>
      </c>
      <c r="I17" s="13" t="n">
        <v>0.919642857142857</v>
      </c>
      <c r="J17" s="13" t="n">
        <v>0.940677966101695</v>
      </c>
    </row>
    <row r="18" customFormat="false" ht="15" hidden="false" customHeight="false" outlineLevel="0" collapsed="false">
      <c r="A18" s="44" t="s">
        <v>126</v>
      </c>
      <c r="B18" s="17" t="s">
        <v>43</v>
      </c>
      <c r="C18" s="17" t="s">
        <v>127</v>
      </c>
      <c r="D18" s="18" t="s">
        <v>135</v>
      </c>
      <c r="E18" s="12" t="n">
        <v>115</v>
      </c>
      <c r="F18" s="13" t="n">
        <v>0.930434782608696</v>
      </c>
      <c r="G18" s="14" t="n">
        <v>124.843</v>
      </c>
      <c r="H18" s="14" t="n">
        <v>1.08559130434783</v>
      </c>
      <c r="I18" s="13" t="n">
        <v>0.913793103448276</v>
      </c>
      <c r="J18" s="13" t="n">
        <v>0.947368421052632</v>
      </c>
    </row>
    <row r="20" customFormat="false" ht="15" hidden="false" customHeight="false" outlineLevel="0" collapsed="false">
      <c r="A20" s="45" t="s">
        <v>56</v>
      </c>
      <c r="B20" s="17" t="s">
        <v>40</v>
      </c>
      <c r="C20" s="17" t="s">
        <v>127</v>
      </c>
      <c r="D20" s="18" t="s">
        <v>55</v>
      </c>
      <c r="E20" s="12" t="n">
        <v>389</v>
      </c>
      <c r="F20" s="13" t="n">
        <v>0.699228791773779</v>
      </c>
      <c r="G20" s="14" t="n">
        <v>274.573</v>
      </c>
      <c r="H20" s="14" t="n">
        <v>0.705843187660668</v>
      </c>
      <c r="I20" s="13" t="n">
        <v>0.737373737373737</v>
      </c>
      <c r="J20" s="13" t="n">
        <v>0.659685863874346</v>
      </c>
    </row>
    <row r="21" customFormat="false" ht="15" hidden="false" customHeight="false" outlineLevel="0" collapsed="false">
      <c r="A21" s="45" t="s">
        <v>56</v>
      </c>
      <c r="B21" s="17" t="s">
        <v>41</v>
      </c>
      <c r="C21" s="17" t="s">
        <v>127</v>
      </c>
      <c r="D21" s="18" t="s">
        <v>129</v>
      </c>
      <c r="E21" s="12" t="n">
        <v>981</v>
      </c>
      <c r="F21" s="13" t="n">
        <v>0.698267074413863</v>
      </c>
      <c r="G21" s="14" t="n">
        <v>213.88</v>
      </c>
      <c r="H21" s="14" t="n">
        <v>0.218022426095821</v>
      </c>
      <c r="I21" s="13" t="n">
        <v>0.748971193415638</v>
      </c>
      <c r="J21" s="13" t="n">
        <v>0.648484848484848</v>
      </c>
    </row>
    <row r="22" customFormat="false" ht="15" hidden="false" customHeight="false" outlineLevel="0" collapsed="false">
      <c r="A22" s="45" t="s">
        <v>56</v>
      </c>
      <c r="B22" s="17" t="s">
        <v>41</v>
      </c>
      <c r="C22" s="17" t="s">
        <v>136</v>
      </c>
      <c r="D22" s="18" t="s">
        <v>134</v>
      </c>
      <c r="E22" s="12" t="n">
        <v>499</v>
      </c>
      <c r="F22" s="13" t="n">
        <v>0.697394789579158</v>
      </c>
      <c r="G22" s="14" t="n">
        <v>188.374</v>
      </c>
      <c r="H22" s="14" t="n">
        <v>0.377503006012024</v>
      </c>
      <c r="I22" s="13" t="n">
        <v>0.755186721991701</v>
      </c>
      <c r="J22" s="13" t="n">
        <v>0.643410852713178</v>
      </c>
    </row>
    <row r="23" customFormat="false" ht="15" hidden="false" customHeight="false" outlineLevel="0" collapsed="false">
      <c r="A23" s="45" t="s">
        <v>56</v>
      </c>
      <c r="B23" s="17" t="s">
        <v>39</v>
      </c>
      <c r="C23" s="17" t="s">
        <v>137</v>
      </c>
      <c r="D23" s="18" t="s">
        <v>55</v>
      </c>
      <c r="E23" s="12" t="n">
        <v>1955</v>
      </c>
      <c r="F23" s="13" t="n">
        <v>0.69616368286445</v>
      </c>
      <c r="G23" s="14" t="n">
        <v>1267.117</v>
      </c>
      <c r="H23" s="14" t="n">
        <v>0.64814168797954</v>
      </c>
      <c r="I23" s="13" t="n">
        <v>0.694984646878199</v>
      </c>
      <c r="J23" s="13" t="n">
        <v>0.697341513292434</v>
      </c>
    </row>
    <row r="24" customFormat="false" ht="15" hidden="false" customHeight="false" outlineLevel="0" collapsed="false">
      <c r="A24" s="45" t="s">
        <v>56</v>
      </c>
      <c r="B24" s="17" t="s">
        <v>44</v>
      </c>
      <c r="C24" s="17" t="s">
        <v>131</v>
      </c>
      <c r="D24" s="18" t="s">
        <v>128</v>
      </c>
      <c r="E24" s="12" t="n">
        <v>217</v>
      </c>
      <c r="F24" s="13" t="n">
        <v>0.695852534562212</v>
      </c>
      <c r="G24" s="14" t="n">
        <v>4.492</v>
      </c>
      <c r="H24" s="14" t="n">
        <v>0.0207004608294931</v>
      </c>
      <c r="I24" s="13" t="n">
        <v>0.639175257731959</v>
      </c>
      <c r="J24" s="13" t="n">
        <v>0.741666666666667</v>
      </c>
    </row>
    <row r="25" customFormat="false" ht="15" hidden="false" customHeight="false" outlineLevel="0" collapsed="false">
      <c r="A25" s="45" t="s">
        <v>56</v>
      </c>
      <c r="B25" s="17" t="s">
        <v>44</v>
      </c>
      <c r="C25" s="17" t="s">
        <v>132</v>
      </c>
      <c r="D25" s="18" t="s">
        <v>128</v>
      </c>
      <c r="E25" s="12" t="n">
        <v>217</v>
      </c>
      <c r="F25" s="13" t="n">
        <v>0.695852534562212</v>
      </c>
      <c r="G25" s="14" t="n">
        <v>4.492</v>
      </c>
      <c r="H25" s="14" t="n">
        <v>0.0207004608294931</v>
      </c>
      <c r="I25" s="13" t="n">
        <v>0.639175257731959</v>
      </c>
      <c r="J25" s="13" t="n">
        <v>0.741666666666667</v>
      </c>
    </row>
    <row r="26" customFormat="false" ht="15" hidden="false" customHeight="false" outlineLevel="0" collapsed="false">
      <c r="A26" s="45" t="s">
        <v>56</v>
      </c>
      <c r="B26" s="17" t="s">
        <v>40</v>
      </c>
      <c r="C26" s="17" t="s">
        <v>131</v>
      </c>
      <c r="D26" s="18" t="s">
        <v>55</v>
      </c>
      <c r="E26" s="12" t="n">
        <v>482</v>
      </c>
      <c r="F26" s="13" t="n">
        <v>0.695020746887967</v>
      </c>
      <c r="G26" s="14" t="n">
        <v>309.701</v>
      </c>
      <c r="H26" s="14" t="n">
        <v>0.642533195020747</v>
      </c>
      <c r="I26" s="13" t="n">
        <v>0.733067729083665</v>
      </c>
      <c r="J26" s="13" t="n">
        <v>0.653679653679654</v>
      </c>
    </row>
    <row r="27" customFormat="false" ht="15" hidden="false" customHeight="false" outlineLevel="0" collapsed="false">
      <c r="A27" s="45" t="s">
        <v>56</v>
      </c>
      <c r="B27" s="17" t="s">
        <v>40</v>
      </c>
      <c r="C27" s="17" t="s">
        <v>132</v>
      </c>
      <c r="D27" s="18" t="s">
        <v>55</v>
      </c>
      <c r="E27" s="12" t="n">
        <v>482</v>
      </c>
      <c r="F27" s="13" t="n">
        <v>0.695020746887967</v>
      </c>
      <c r="G27" s="14" t="n">
        <v>309.701</v>
      </c>
      <c r="H27" s="14" t="n">
        <v>0.642533195020747</v>
      </c>
      <c r="I27" s="13" t="n">
        <v>0.733067729083665</v>
      </c>
      <c r="J27" s="13" t="n">
        <v>0.653679653679654</v>
      </c>
    </row>
    <row r="28" customFormat="false" ht="15" hidden="false" customHeight="false" outlineLevel="0" collapsed="false">
      <c r="A28" s="45" t="s">
        <v>56</v>
      </c>
      <c r="B28" s="17" t="s">
        <v>44</v>
      </c>
      <c r="C28" s="17" t="s">
        <v>138</v>
      </c>
      <c r="D28" s="18" t="s">
        <v>128</v>
      </c>
      <c r="E28" s="12" t="n">
        <v>458</v>
      </c>
      <c r="F28" s="13" t="n">
        <v>0.694323144104803</v>
      </c>
      <c r="G28" s="14" t="n">
        <v>7.083</v>
      </c>
      <c r="H28" s="14" t="n">
        <v>0.0154650655021834</v>
      </c>
      <c r="I28" s="13" t="n">
        <v>0.665178571428571</v>
      </c>
      <c r="J28" s="13" t="n">
        <v>0.722222222222222</v>
      </c>
    </row>
    <row r="29" customFormat="false" ht="15" hidden="false" customHeight="false" outlineLevel="0" collapsed="false">
      <c r="A29" s="45" t="s">
        <v>56</v>
      </c>
      <c r="B29" s="17" t="s">
        <v>37</v>
      </c>
      <c r="C29" s="17" t="s">
        <v>139</v>
      </c>
      <c r="D29" s="18" t="s">
        <v>55</v>
      </c>
      <c r="E29" s="12" t="n">
        <v>6911</v>
      </c>
      <c r="F29" s="13" t="n">
        <v>0.69411083779482</v>
      </c>
      <c r="G29" s="14" t="n">
        <v>12394.5120000001</v>
      </c>
      <c r="H29" s="14" t="n">
        <v>1.79344696860078</v>
      </c>
      <c r="I29" s="13" t="n">
        <v>0.687839305103149</v>
      </c>
      <c r="J29" s="13" t="n">
        <v>0.701270529903936</v>
      </c>
    </row>
    <row r="30" customFormat="false" ht="15" hidden="false" customHeight="false" outlineLevel="0" collapsed="false">
      <c r="A30" s="45" t="s">
        <v>56</v>
      </c>
      <c r="B30" s="17" t="s">
        <v>41</v>
      </c>
      <c r="C30" s="17" t="s">
        <v>130</v>
      </c>
      <c r="D30" s="18" t="s">
        <v>129</v>
      </c>
      <c r="E30" s="12" t="n">
        <v>784</v>
      </c>
      <c r="F30" s="13" t="n">
        <v>0.693877551020408</v>
      </c>
      <c r="G30" s="14" t="n">
        <v>159.082</v>
      </c>
      <c r="H30" s="14" t="n">
        <v>0.202910714285714</v>
      </c>
      <c r="I30" s="13" t="n">
        <v>0.699738903394256</v>
      </c>
      <c r="J30" s="13" t="n">
        <v>0.688279301745636</v>
      </c>
    </row>
    <row r="31" customFormat="false" ht="15" hidden="false" customHeight="false" outlineLevel="0" collapsed="false">
      <c r="A31" s="45" t="s">
        <v>56</v>
      </c>
      <c r="B31" s="17" t="s">
        <v>44</v>
      </c>
      <c r="C31" s="17" t="s">
        <v>138</v>
      </c>
      <c r="D31" s="18" t="s">
        <v>55</v>
      </c>
      <c r="E31" s="12" t="n">
        <v>458</v>
      </c>
      <c r="F31" s="13" t="n">
        <v>0.692139737991266</v>
      </c>
      <c r="G31" s="14" t="n">
        <v>88.4830000000001</v>
      </c>
      <c r="H31" s="14" t="n">
        <v>0.193194323144105</v>
      </c>
      <c r="I31" s="13" t="n">
        <v>0.638392857142857</v>
      </c>
      <c r="J31" s="13" t="n">
        <v>0.743589743589744</v>
      </c>
    </row>
    <row r="32" customFormat="false" ht="15" hidden="false" customHeight="false" outlineLevel="0" collapsed="false">
      <c r="A32" s="45" t="s">
        <v>56</v>
      </c>
      <c r="B32" s="17" t="s">
        <v>39</v>
      </c>
      <c r="C32" s="17" t="s">
        <v>60</v>
      </c>
      <c r="D32" s="18" t="s">
        <v>55</v>
      </c>
      <c r="E32" s="12" t="n">
        <v>2473</v>
      </c>
      <c r="F32" s="13" t="n">
        <v>0.691872219975738</v>
      </c>
      <c r="G32" s="14" t="n">
        <v>1646.39</v>
      </c>
      <c r="H32" s="14" t="n">
        <v>0.665746057420138</v>
      </c>
      <c r="I32" s="13" t="n">
        <v>0.702314445331205</v>
      </c>
      <c r="J32" s="13" t="n">
        <v>0.681147540983607</v>
      </c>
    </row>
    <row r="33" customFormat="false" ht="15" hidden="false" customHeight="false" outlineLevel="0" collapsed="false">
      <c r="A33" s="45" t="s">
        <v>56</v>
      </c>
      <c r="B33" s="17" t="s">
        <v>37</v>
      </c>
      <c r="C33" s="17" t="s">
        <v>57</v>
      </c>
      <c r="D33" s="18" t="s">
        <v>55</v>
      </c>
      <c r="E33" s="12" t="n">
        <v>7210</v>
      </c>
      <c r="F33" s="13" t="n">
        <v>0.69126213592233</v>
      </c>
      <c r="G33" s="14" t="n">
        <v>12562.748</v>
      </c>
      <c r="H33" s="14" t="n">
        <v>1.74240610263523</v>
      </c>
      <c r="I33" s="13" t="n">
        <v>0.682395644283122</v>
      </c>
      <c r="J33" s="13" t="n">
        <v>0.701461377870564</v>
      </c>
    </row>
    <row r="34" customFormat="false" ht="15" hidden="false" customHeight="false" outlineLevel="0" collapsed="false">
      <c r="A34" s="45" t="s">
        <v>56</v>
      </c>
      <c r="B34" s="17" t="s">
        <v>43</v>
      </c>
      <c r="C34" s="17" t="s">
        <v>140</v>
      </c>
      <c r="D34" s="18" t="s">
        <v>141</v>
      </c>
      <c r="E34" s="12" t="n">
        <v>359</v>
      </c>
      <c r="F34" s="13" t="n">
        <v>0.690807799442897</v>
      </c>
      <c r="G34" s="14" t="n">
        <v>358.713</v>
      </c>
      <c r="H34" s="14" t="n">
        <v>0.999200557103064</v>
      </c>
      <c r="I34" s="13" t="n">
        <v>0.682080924855491</v>
      </c>
      <c r="J34" s="13" t="n">
        <v>0.698924731182796</v>
      </c>
    </row>
    <row r="36" customFormat="false" ht="15" hidden="false" customHeight="false" outlineLevel="0" collapsed="false">
      <c r="A36" s="46" t="s">
        <v>59</v>
      </c>
      <c r="B36" s="17" t="s">
        <v>44</v>
      </c>
      <c r="C36" s="17" t="s">
        <v>142</v>
      </c>
      <c r="D36" s="18" t="s">
        <v>134</v>
      </c>
      <c r="E36" s="12" t="n">
        <v>588</v>
      </c>
      <c r="F36" s="13" t="n">
        <v>0.598639455782313</v>
      </c>
      <c r="G36" s="14" t="n">
        <v>86.708</v>
      </c>
      <c r="H36" s="14" t="n">
        <v>0.147462585034014</v>
      </c>
      <c r="I36" s="13" t="n">
        <v>0.604166666666667</v>
      </c>
      <c r="J36" s="13" t="n">
        <v>0.593333333333333</v>
      </c>
    </row>
    <row r="37" customFormat="false" ht="15" hidden="false" customHeight="false" outlineLevel="0" collapsed="false">
      <c r="A37" s="46" t="s">
        <v>59</v>
      </c>
      <c r="B37" s="17" t="s">
        <v>41</v>
      </c>
      <c r="C37" s="17" t="s">
        <v>137</v>
      </c>
      <c r="D37" s="18" t="s">
        <v>129</v>
      </c>
      <c r="E37" s="12" t="n">
        <v>4032</v>
      </c>
      <c r="F37" s="13" t="n">
        <v>0.597470238095238</v>
      </c>
      <c r="G37" s="14" t="n">
        <v>127.670999999999</v>
      </c>
      <c r="H37" s="14" t="n">
        <v>0.0316644345238095</v>
      </c>
      <c r="I37" s="13" t="n">
        <v>0.596367305751766</v>
      </c>
      <c r="J37" s="13" t="n">
        <v>0.598536585365854</v>
      </c>
    </row>
    <row r="38" customFormat="false" ht="15" hidden="false" customHeight="false" outlineLevel="0" collapsed="false">
      <c r="A38" s="46" t="s">
        <v>59</v>
      </c>
      <c r="B38" s="17" t="s">
        <v>44</v>
      </c>
      <c r="C38" s="17" t="s">
        <v>139</v>
      </c>
      <c r="D38" s="18" t="s">
        <v>134</v>
      </c>
      <c r="E38" s="12" t="n">
        <v>536</v>
      </c>
      <c r="F38" s="13" t="n">
        <v>0.597014925373134</v>
      </c>
      <c r="G38" s="14" t="n">
        <v>86.854</v>
      </c>
      <c r="H38" s="14" t="n">
        <v>0.162041044776119</v>
      </c>
      <c r="I38" s="13" t="n">
        <v>0.565384615384615</v>
      </c>
      <c r="J38" s="13" t="n">
        <v>0.626811594202899</v>
      </c>
    </row>
    <row r="39" customFormat="false" ht="15" hidden="false" customHeight="false" outlineLevel="0" collapsed="false">
      <c r="A39" s="46" t="s">
        <v>59</v>
      </c>
      <c r="B39" s="17" t="s">
        <v>43</v>
      </c>
      <c r="C39" s="17" t="s">
        <v>137</v>
      </c>
      <c r="D39" s="18" t="s">
        <v>135</v>
      </c>
      <c r="E39" s="12" t="n">
        <v>1486</v>
      </c>
      <c r="F39" s="13" t="n">
        <v>0.596231493943472</v>
      </c>
      <c r="G39" s="14" t="n">
        <v>472.756</v>
      </c>
      <c r="H39" s="14" t="n">
        <v>0.3181399730821</v>
      </c>
      <c r="I39" s="13" t="n">
        <v>0.593423019431988</v>
      </c>
      <c r="J39" s="13" t="n">
        <v>0.598531211750306</v>
      </c>
    </row>
    <row r="40" customFormat="false" ht="15" hidden="false" customHeight="false" outlineLevel="0" collapsed="false">
      <c r="A40" s="46" t="s">
        <v>59</v>
      </c>
      <c r="B40" s="17" t="s">
        <v>41</v>
      </c>
      <c r="C40" s="17" t="s">
        <v>130</v>
      </c>
      <c r="D40" s="18" t="s">
        <v>143</v>
      </c>
      <c r="E40" s="12" t="n">
        <v>784</v>
      </c>
      <c r="F40" s="13" t="n">
        <v>0.595663265306123</v>
      </c>
      <c r="G40" s="14" t="n">
        <v>359.508</v>
      </c>
      <c r="H40" s="14" t="n">
        <v>0.45855612244898</v>
      </c>
      <c r="I40" s="13" t="n">
        <v>0.616187989556136</v>
      </c>
      <c r="J40" s="13" t="n">
        <v>0.576059850374065</v>
      </c>
    </row>
    <row r="41" customFormat="false" ht="15" hidden="false" customHeight="false" outlineLevel="0" collapsed="false">
      <c r="A41" s="46" t="s">
        <v>59</v>
      </c>
      <c r="B41" s="17" t="s">
        <v>41</v>
      </c>
      <c r="C41" s="17" t="s">
        <v>139</v>
      </c>
      <c r="D41" s="18" t="s">
        <v>134</v>
      </c>
      <c r="E41" s="12" t="n">
        <v>2418</v>
      </c>
      <c r="F41" s="13" t="n">
        <v>0.595533498759305</v>
      </c>
      <c r="G41" s="14" t="n">
        <v>427.020000000001</v>
      </c>
      <c r="H41" s="14" t="n">
        <v>0.176600496277916</v>
      </c>
      <c r="I41" s="13" t="n">
        <v>0.611111111111111</v>
      </c>
      <c r="J41" s="13" t="n">
        <v>0.580487804878049</v>
      </c>
    </row>
    <row r="42" customFormat="false" ht="15" hidden="false" customHeight="false" outlineLevel="0" collapsed="false">
      <c r="A42" s="46" t="s">
        <v>59</v>
      </c>
      <c r="B42" s="17" t="s">
        <v>41</v>
      </c>
      <c r="C42" s="17" t="s">
        <v>144</v>
      </c>
      <c r="D42" s="18" t="s">
        <v>135</v>
      </c>
      <c r="E42" s="12" t="n">
        <v>887</v>
      </c>
      <c r="F42" s="13" t="n">
        <v>0.595264937993236</v>
      </c>
      <c r="G42" s="14" t="n">
        <v>275.774</v>
      </c>
      <c r="H42" s="14" t="n">
        <v>0.310906426155581</v>
      </c>
      <c r="I42" s="13" t="n">
        <v>0.608695652173913</v>
      </c>
      <c r="J42" s="13" t="n">
        <v>0.582222222222222</v>
      </c>
    </row>
    <row r="43" customFormat="false" ht="15" hidden="false" customHeight="false" outlineLevel="0" collapsed="false">
      <c r="A43" s="46" t="s">
        <v>59</v>
      </c>
      <c r="B43" s="17" t="s">
        <v>41</v>
      </c>
      <c r="C43" s="17" t="s">
        <v>127</v>
      </c>
      <c r="D43" s="18" t="s">
        <v>143</v>
      </c>
      <c r="E43" s="12" t="n">
        <v>981</v>
      </c>
      <c r="F43" s="13" t="n">
        <v>0.593272171253823</v>
      </c>
      <c r="G43" s="14" t="n">
        <v>461.792000000001</v>
      </c>
      <c r="H43" s="14" t="n">
        <v>0.470735983690112</v>
      </c>
      <c r="I43" s="13" t="n">
        <v>0.641975308641975</v>
      </c>
      <c r="J43" s="13" t="n">
        <v>0.545454545454545</v>
      </c>
    </row>
    <row r="44" customFormat="false" ht="15" hidden="false" customHeight="false" outlineLevel="0" collapsed="false">
      <c r="A44" s="46" t="s">
        <v>59</v>
      </c>
      <c r="B44" s="17" t="s">
        <v>43</v>
      </c>
      <c r="C44" s="17" t="s">
        <v>142</v>
      </c>
      <c r="D44" s="18" t="s">
        <v>143</v>
      </c>
      <c r="E44" s="12" t="n">
        <v>623</v>
      </c>
      <c r="F44" s="13" t="n">
        <v>0.592295345104334</v>
      </c>
      <c r="G44" s="14" t="n">
        <v>279.901</v>
      </c>
      <c r="H44" s="14" t="n">
        <v>0.449279293739968</v>
      </c>
      <c r="I44" s="13" t="n">
        <v>0.573248407643312</v>
      </c>
      <c r="J44" s="13" t="n">
        <v>0.611650485436893</v>
      </c>
    </row>
    <row r="45" customFormat="false" ht="15" hidden="false" customHeight="false" outlineLevel="0" collapsed="false">
      <c r="A45" s="46" t="s">
        <v>59</v>
      </c>
      <c r="B45" s="17" t="s">
        <v>41</v>
      </c>
      <c r="C45" s="17" t="s">
        <v>133</v>
      </c>
      <c r="D45" s="18" t="s">
        <v>135</v>
      </c>
      <c r="E45" s="12" t="n">
        <v>1545</v>
      </c>
      <c r="F45" s="13" t="n">
        <v>0.591585760517799</v>
      </c>
      <c r="G45" s="14" t="n">
        <v>487.709</v>
      </c>
      <c r="H45" s="14" t="n">
        <v>0.31566925566343</v>
      </c>
      <c r="I45" s="13" t="n">
        <v>0.629333333333333</v>
      </c>
      <c r="J45" s="13" t="n">
        <v>0.555974842767296</v>
      </c>
    </row>
    <row r="46" customFormat="false" ht="15" hidden="false" customHeight="false" outlineLevel="0" collapsed="false">
      <c r="A46" s="46" t="s">
        <v>59</v>
      </c>
      <c r="B46" s="17" t="s">
        <v>45</v>
      </c>
      <c r="C46" s="17" t="s">
        <v>145</v>
      </c>
      <c r="D46" s="18" t="s">
        <v>55</v>
      </c>
      <c r="E46" s="12" t="n">
        <v>541</v>
      </c>
      <c r="F46" s="13" t="n">
        <v>0.591497227356747</v>
      </c>
      <c r="G46" s="14" t="n">
        <v>222.237</v>
      </c>
      <c r="H46" s="14" t="n">
        <v>0.410789279112754</v>
      </c>
      <c r="I46" s="13" t="n">
        <v>0.579335793357934</v>
      </c>
      <c r="J46" s="13" t="n">
        <v>0.603703703703704</v>
      </c>
    </row>
    <row r="47" customFormat="false" ht="15" hidden="false" customHeight="false" outlineLevel="0" collapsed="false">
      <c r="A47" s="46" t="s">
        <v>59</v>
      </c>
      <c r="B47" s="17" t="s">
        <v>41</v>
      </c>
      <c r="C47" s="17" t="s">
        <v>142</v>
      </c>
      <c r="D47" s="18" t="s">
        <v>134</v>
      </c>
      <c r="E47" s="12" t="n">
        <v>2385</v>
      </c>
      <c r="F47" s="13" t="n">
        <v>0.583647798742138</v>
      </c>
      <c r="G47" s="14" t="n">
        <v>356.817000000001</v>
      </c>
      <c r="H47" s="14" t="n">
        <v>0.149608805031447</v>
      </c>
      <c r="I47" s="13" t="n">
        <v>0.593406593406593</v>
      </c>
      <c r="J47" s="13" t="n">
        <v>0.574043261231281</v>
      </c>
    </row>
    <row r="48" customFormat="false" ht="15" hidden="false" customHeight="false" outlineLevel="0" collapsed="false">
      <c r="A48" s="46" t="s">
        <v>59</v>
      </c>
      <c r="B48" s="17" t="s">
        <v>41</v>
      </c>
      <c r="C48" s="17" t="s">
        <v>57</v>
      </c>
      <c r="D48" s="18" t="s">
        <v>134</v>
      </c>
      <c r="E48" s="12" t="n">
        <v>3045</v>
      </c>
      <c r="F48" s="13" t="n">
        <v>0.582922824302135</v>
      </c>
      <c r="G48" s="14" t="n">
        <v>451.258000000001</v>
      </c>
      <c r="H48" s="14" t="n">
        <v>0.148196387520526</v>
      </c>
      <c r="I48" s="13" t="n">
        <v>0.595617529880478</v>
      </c>
      <c r="J48" s="13" t="n">
        <v>0.57050032488629</v>
      </c>
    </row>
    <row r="49" customFormat="false" ht="15" hidden="false" customHeight="false" outlineLevel="0" collapsed="false">
      <c r="A49" s="46" t="s">
        <v>59</v>
      </c>
      <c r="B49" s="17" t="s">
        <v>41</v>
      </c>
      <c r="C49" s="17" t="s">
        <v>131</v>
      </c>
      <c r="D49" s="18" t="s">
        <v>143</v>
      </c>
      <c r="E49" s="12" t="n">
        <v>1182</v>
      </c>
      <c r="F49" s="13" t="n">
        <v>0.582064297800338</v>
      </c>
      <c r="G49" s="14" t="n">
        <v>522.614000000001</v>
      </c>
      <c r="H49" s="14" t="n">
        <v>0.442143824027073</v>
      </c>
      <c r="I49" s="13" t="n">
        <v>0.627659574468085</v>
      </c>
      <c r="J49" s="13" t="n">
        <v>0.540453074433657</v>
      </c>
    </row>
    <row r="50" customFormat="false" ht="15" hidden="false" customHeight="false" outlineLevel="0" collapsed="false">
      <c r="A50" s="46" t="s">
        <v>59</v>
      </c>
      <c r="B50" s="17" t="s">
        <v>41</v>
      </c>
      <c r="C50" s="17" t="s">
        <v>132</v>
      </c>
      <c r="D50" s="18" t="s">
        <v>143</v>
      </c>
      <c r="E50" s="12" t="n">
        <v>1182</v>
      </c>
      <c r="F50" s="13" t="n">
        <v>0.582064297800338</v>
      </c>
      <c r="G50" s="14" t="n">
        <v>522.614000000001</v>
      </c>
      <c r="H50" s="14" t="n">
        <v>0.442143824027073</v>
      </c>
      <c r="I50" s="13" t="n">
        <v>0.627659574468085</v>
      </c>
      <c r="J50" s="13" t="n">
        <v>0.540453074433657</v>
      </c>
    </row>
    <row r="52" customFormat="false" ht="15" hidden="false" customHeight="false" outlineLevel="0" collapsed="false">
      <c r="A52" s="31" t="s">
        <v>146</v>
      </c>
    </row>
    <row r="53" customFormat="false" ht="15" hidden="false" customHeight="false" outlineLevel="0" collapsed="false">
      <c r="A53" s="31" t="s">
        <v>147</v>
      </c>
    </row>
    <row r="54" customFormat="false" ht="15" hidden="false" customHeight="false" outlineLevel="0" collapsed="false">
      <c r="A54" s="3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2026-02-19T10:56:28Z</dcterms:created>
  <dc:creator>openpyxl</dc:creator>
  <dc:description/>
  <dc:language>en-US</dc:language>
  <cp:lastModifiedBy/>
  <dcterms:modified xsi:type="dcterms:W3CDTF">2026-02-19T10:56:32Z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