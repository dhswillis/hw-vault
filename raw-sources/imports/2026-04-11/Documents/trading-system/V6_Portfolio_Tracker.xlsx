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 Summary" sheetId="1" state="visible" r:id="rId3"/>
    <sheet name="Live Hypothesis" sheetId="2" state="visible" r:id="rId4"/>
    <sheet name="Bug &amp; Error Log" sheetId="3" state="visible" r:id="rId5"/>
    <sheet name="Live Tracker" sheetId="4" state="visible" r:id="rId6"/>
    <sheet name="Version Histo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<sst xmlns="http://schemas.openxmlformats.org/spreadsheetml/2006/main" count="234" uniqueCount="179">
  <si>
    <t xml:space="preserve">V6 ULTIMATE PORTFOLIO — BACKTEST SUMMARY</t>
  </si>
  <si>
    <t xml:space="preserve">Backtest Period: Oct 1, 2025 – Jan 31, 2026  |  88 Trading Days  |  Databento Tick Data  |  NQ Front-Month</t>
  </si>
  <si>
    <t xml:space="preserve">Leg</t>
  </si>
  <si>
    <t xml:space="preserve">Strategy</t>
  </si>
  <si>
    <t xml:space="preserve">Description</t>
  </si>
  <si>
    <t xml:space="preserve">Trades</t>
  </si>
  <si>
    <t xml:space="preserve">Win %</t>
  </si>
  <si>
    <t xml:space="preserve">Net Pts</t>
  </si>
  <si>
    <t xml:space="preserve">$/NQ</t>
  </si>
  <si>
    <t xml:space="preserve">PF</t>
  </si>
  <si>
    <t xml:space="preserve">Avg W</t>
  </si>
  <si>
    <t xml:space="preserve">Avg L</t>
  </si>
  <si>
    <t xml:space="preserve">MDD</t>
  </si>
  <si>
    <t xml:space="preserve">BO_1H</t>
  </si>
  <si>
    <t xml:space="preserve">SA 1H Breakout</t>
  </si>
  <si>
    <t xml:space="preserve">Break prior 1H bar H/L, Tr5/3, S20</t>
  </si>
  <si>
    <t xml:space="preserve">BO_2H</t>
  </si>
  <si>
    <t xml:space="preserve">SA 2H Breakout</t>
  </si>
  <si>
    <t xml:space="preserve">Break prior 2H bar H/L, Tr5/3, S20</t>
  </si>
  <si>
    <t xml:space="preserve">BO_4H</t>
  </si>
  <si>
    <t xml:space="preserve">SA 4H Breakout</t>
  </si>
  <si>
    <t xml:space="preserve">Break prior 4H bar H/L, Tr5/3, S20</t>
  </si>
  <si>
    <t xml:space="preserve">BO_OR</t>
  </si>
  <si>
    <t xml:space="preserve">Opening Range BO</t>
  </si>
  <si>
    <t xml:space="preserve">Break 15-min OR H/L, Tr5/3, S20</t>
  </si>
  <si>
    <t xml:space="preserve">SW_MKT</t>
  </si>
  <si>
    <t xml:space="preserve">SA Sweep MKT</t>
  </si>
  <si>
    <t xml:space="preserve">Sweep prev 1H H/L by FD≥10, reversal, timeout</t>
  </si>
  <si>
    <t xml:space="preserve">FK_OPN</t>
  </si>
  <si>
    <t xml:space="preserve">SA Fakeout OPN</t>
  </si>
  <si>
    <t xml:space="preserve">Fake from 1H open by FD≥8, reversal, timeout</t>
  </si>
  <si>
    <t xml:space="preserve">RNG_REV</t>
  </si>
  <si>
    <t xml:space="preserve">Range Reversal</t>
  </si>
  <si>
    <t xml:space="preserve">1H range≥20, fade direction, slot 3, timeout</t>
  </si>
  <si>
    <t xml:space="preserve">WK_FADE</t>
  </si>
  <si>
    <t xml:space="preserve">CH Wick Fade</t>
  </si>
  <si>
    <t xml:space="preserve">CH bar wick&gt;body &amp; ≥2pt, fade, S15</t>
  </si>
  <si>
    <t xml:space="preserve">FK4H_OPN</t>
  </si>
  <si>
    <t xml:space="preserve">4H Impulse Fade</t>
  </si>
  <si>
    <t xml:space="preserve">4H fakeout from open FD≥7, S15, 4H timeout</t>
  </si>
  <si>
    <t xml:space="preserve">GAP_FADE</t>
  </si>
  <si>
    <t xml:space="preserve">Daily Gap Fade</t>
  </si>
  <si>
    <t xml:space="preserve">Gap from prev day open FD≥10, S30, flatten TO</t>
  </si>
  <si>
    <t xml:space="preserve">TOTAL</t>
  </si>
  <si>
    <t xml:space="preserve">KEY METRICS</t>
  </si>
  <si>
    <t xml:space="preserve">Total R (R=20pts)</t>
  </si>
  <si>
    <t xml:space="preserve">R / Day</t>
  </si>
  <si>
    <t xml:space="preserve">Trading Days</t>
  </si>
  <si>
    <t xml:space="preserve">Trades / Day</t>
  </si>
  <si>
    <t xml:space="preserve">Blended Win Rate</t>
  </si>
  <si>
    <t xml:space="preserve">Portfolio PF</t>
  </si>
  <si>
    <t xml:space="preserve">Transaction Cost</t>
  </si>
  <si>
    <t xml:space="preserve">0.75 pts/trade (0.25 slip + 0.50 comm)</t>
  </si>
  <si>
    <t xml:space="preserve">LIVE TRADING HYPOTHESIS</t>
  </si>
  <si>
    <t xml:space="preserve">Expected performance degradation from backtest → live, with reasoning per leg</t>
  </si>
  <si>
    <t xml:space="preserve">Backtest
Net Pts</t>
  </si>
  <si>
    <t xml:space="preserve">Backtest
Win %</t>
  </si>
  <si>
    <t xml:space="preserve">Expected Live
Win %</t>
  </si>
  <si>
    <t xml:space="preserve">Expected Live
Net Pts</t>
  </si>
  <si>
    <t xml:space="preserve">Degradation</t>
  </si>
  <si>
    <t xml:space="preserve">Confidence</t>
  </si>
  <si>
    <t xml:space="preserve">Reasoning</t>
  </si>
  <si>
    <t xml:space="preserve">HIGH</t>
  </si>
  <si>
    <t xml:space="preserve">Most robust leg. Large sample (324). Expect ~3-5% WR drop from execution latency on breakout entries. Still profitable with Tr5/3 trailing.</t>
  </si>
  <si>
    <t xml:space="preserve">Solid sample (134). Similar degradation as 1H. Wider bars = more forgiveness on entry. Slightly better fill quality expected.</t>
  </si>
  <si>
    <t xml:space="preserve">MEDIUM</t>
  </si>
  <si>
    <t xml:space="preserve">Small sample (56 trades in 88 days). High WR may be partially luck. Expect regression to mean. Still positive but reduced edge.</t>
  </si>
  <si>
    <t xml:space="preserve">88 trades. OR breakouts well-studied and crowded. Expect more false breakouts live as algos fade OR levels.</t>
  </si>
  <si>
    <t xml:space="preserve">Strongest edge (PF 4.32). Large sample (261). Sweep reversals are structural. Expect some degradation from fill quality at extremes but concept is sound.</t>
  </si>
  <si>
    <t xml:space="preserve">118 trades. Fakeout from open is a real pattern. Some risk of overfitting slot selection (3,4 only). Moderate confidence.</t>
  </si>
  <si>
    <t xml:space="preserve">LOW</t>
  </si>
  <si>
    <t xml:space="preserve">Small sample (62). Single slot (3). Highest overfit risk. Range expansion reversal is a known effect but parameters may be fragile.</t>
  </si>
  <si>
    <t xml:space="preserve">152 trades. Wick fade is structural (exhaustion signal). S15 stop helps. But 55% WR is thin — small degradation erases edge fast.</t>
  </si>
  <si>
    <t xml:space="preserve">LOW-MED</t>
  </si>
  <si>
    <t xml:space="preserve">168 trades but PF only 1.58. Really "fade first impulse in 4H window." Low WR (53%) means it is fragile. Expect meaningful degradation.</t>
  </si>
  <si>
    <t xml:space="preserve">83 trades. Enters first tick every day (gap fade). Large avg win (31.5) but also large avg loss (15.8). Volatile leg. Gap fill is real but size varies.</t>
  </si>
  <si>
    <t xml:space="preserve">AGGREGATE HYPOTHESIS</t>
  </si>
  <si>
    <t xml:space="preserve">Backtest Total R</t>
  </si>
  <si>
    <t xml:space="preserve">Expected Live Total R</t>
  </si>
  <si>
    <t xml:space="preserve">Expected Live R/Day</t>
  </si>
  <si>
    <t xml:space="preserve">Expected Degradation</t>
  </si>
  <si>
    <t xml:space="preserve">Break-Even WR (at current avg W/L)</t>
  </si>
  <si>
    <t xml:space="preserve">~45%</t>
  </si>
  <si>
    <t xml:space="preserve">Worst-Case Scenario (50% degrad)</t>
  </si>
  <si>
    <t xml:space="preserve">Hypothesis Test Period</t>
  </si>
  <si>
    <t xml:space="preserve">30 trading days minimum</t>
  </si>
  <si>
    <t xml:space="preserve">Kill Switch</t>
  </si>
  <si>
    <t xml:space="preserve">Disable leg if live WR &lt; backtest WR - 15%</t>
  </si>
  <si>
    <t xml:space="preserve">DEVELOPMENT BUG &amp; ERROR LOG</t>
  </si>
  <si>
    <t xml:space="preserve">All bugs, mismatches, and fixes discovered during V1→V6 development</t>
  </si>
  <si>
    <t xml:space="preserve">#</t>
  </si>
  <si>
    <t xml:space="preserve">Version</t>
  </si>
  <si>
    <t xml:space="preserve">Bug / Issue</t>
  </si>
  <si>
    <t xml:space="preserve">Root Cause</t>
  </si>
  <si>
    <t xml:space="preserve">Fix Applied</t>
  </si>
  <si>
    <t xml:space="preserve">Impact</t>
  </si>
  <si>
    <t xml:space="preserve">Status</t>
  </si>
  <si>
    <t xml:space="preserve">V3→V4</t>
  </si>
  <si>
    <t xml:space="preserve">FK_4H_REJ1M flat at +13.5pts (effectively zero edge)</t>
  </si>
  <si>
    <t xml:space="preserve">REJ1M filter requires BOTH a 4H fakeout AND a 1-minute rejection candle simultaneously — far too restrictive. Only a handful of trades triggered.</t>
  </si>
  <si>
    <t xml:space="preserve">Replaced REJ1M entry with OPN (immediate entry at FD threshold). Swept FD across [5,7,10,15,20]. Best: FD7 = +1,118pts PF 1.58.</t>
  </si>
  <si>
    <t xml:space="preserve">CRITICAL — unlocked +1,118pts of edge</t>
  </si>
  <si>
    <t xml:space="preserve">FIXED</t>
  </si>
  <si>
    <t xml:space="preserve">FK_DAILY_10M absent — 0 trades generated</t>
  </si>
  <si>
    <t xml:space="preserve">day_prev_open = None initialized inside run_day() on every call. Since each day is processed independently, prev day open was never carried forward.</t>
  </si>
  <si>
    <t xml:space="preserve">Changed run_day() to return day_open. Caller passes it as day_prev_open to next day. Also tested OPN entry (better than 10M cross).</t>
  </si>
  <si>
    <t xml:space="preserve">CRITICAL — unlocked +1,864pts of edge</t>
  </si>
  <si>
    <t xml:space="preserve">V4→V5</t>
  </si>
  <si>
    <t xml:space="preserve">FK4H trade counts identical across ALL FD levels (168 for FD5/7/10/15/20)</t>
  </si>
  <si>
    <t xml:space="preserve">4H bars always have massive range from open (median 133.6pts). Any FD threshold ≤20 triggers on every 4H bar. The FD filter is non-binding.</t>
  </si>
  <si>
    <t xml:space="preserve">Accepted as intentional behavior — FK4H is really "fade the first impulse in any 4H window." FD7 chosen as minimum meaningful threshold.</t>
  </si>
  <si>
    <t xml:space="preserve">INFORMATIONAL — not a bug, but important for understanding the concept</t>
  </si>
  <si>
    <t xml:space="preserve">UNDERSTOOD</t>
  </si>
  <si>
    <t xml:space="preserve">FKD trade counts identical across ALL FD levels (83 for FD5/10/15/20/30)</t>
  </si>
  <si>
    <t xml:space="preserve">Overnight gaps are always huge (median 306.5pts). Any FD threshold triggers on the first tick. FKD_OPN enters at 14:30 UTC every single day.</t>
  </si>
  <si>
    <t xml:space="preserve">Renamed to GAP_FADE to reflect true concept. FD10 chosen as minimum. This is a gap fade strategy, not an intraday fakeout.</t>
  </si>
  <si>
    <t xml:space="preserve">INFORMATIONAL — renamed for clarity</t>
  </si>
  <si>
    <t xml:space="preserve">V5</t>
  </si>
  <si>
    <t xml:space="preserve">BO_4H missing from v24_ultimate_v5.py (initially)</t>
  </si>
  <si>
    <t xml:space="preserve">When rewriting V5 from scratch, forgot to add s4h_prev_h/s4h_prev_l tracking variables and the BO_4H entry block.</t>
  </si>
  <si>
    <t xml:space="preserve">Three edits: (1) Added s4h_prev_h/l declarations, (2) Added prev bar tracking on 4H transition, (3) Added BO_4H entry block before BO_OR.</t>
  </si>
  <si>
    <t xml:space="preserve">HIGH — BO_4H contributes +586pts</t>
  </si>
  <si>
    <t xml:space="preserve">V5→CS</t>
  </si>
  <si>
    <t xml:space="preserve">C# string formatting used Python-style {N,&gt;width}</t>
  </si>
  <si>
    <t xml:space="preserve">Python f-string alignment syntax (&gt;width) does not work in C# string.Format. C# uses {N,width} for right-align, {N,-width} for left-align.</t>
  </si>
  <si>
    <t xml:space="preserve">Manually formatted sign strings (+ prefix) and used C#-style {N,width} alignment specifiers.</t>
  </si>
  <si>
    <t xml:space="preserve">LOW — cosmetic (Output window table formatting)</t>
  </si>
  <si>
    <t xml:space="preserve">NinjaTrader managed mode conflicts with simultaneous long+short legs</t>
  </si>
  <si>
    <t xml:space="preserve">Multiple legs can be long and short at the same time. NinjaTrader managed approach nets positions, causing unexpected behavior.</t>
  </si>
  <si>
    <t xml:space="preserve">Added SubmitOrders toggle (default false). Virtual tracking works independently. Documented that live execution needs separate strategy instances per leg.</t>
  </si>
  <si>
    <t xml:space="preserve">MEDIUM — affects live execution architecture</t>
  </si>
  <si>
    <t xml:space="preserve">V5→V6</t>
  </si>
  <si>
    <t xml:space="preserve">Virtual P&amp;L missing slippage (0.25pt/trade)</t>
  </si>
  <si>
    <t xml:space="preserve">Python backtest applies SLIP at entry: entry = p + SLIP * dir. C# V5 used raw trigger price for virtual entry.</t>
  </si>
  <si>
    <t xml:space="preserve">V6: legEntry = price + VSlip * dir. VSlip input defaults to 0.25.</t>
  </si>
  <si>
    <t xml:space="preserve">MEDIUM — ~4.5pts/day optimistic in V5 virtual P&amp;L</t>
  </si>
  <si>
    <t xml:space="preserve">Virtual P&amp;L missing commission (0.50pt/trade)</t>
  </si>
  <si>
    <t xml:space="preserve">Python backtest deducts COMM from every trade close: pnl = fav - COMM. C# V5 did not deduct commission from virtual P&amp;L.</t>
  </si>
  <si>
    <t xml:space="preserve">V6: pnl -= VComm in CloseLeg(). VComm input defaults to 0.50.</t>
  </si>
  <si>
    <t xml:space="preserve">MEDIUM — ~9pts/day optimistic in V5 virtual P&amp;L</t>
  </si>
  <si>
    <t xml:space="preserve">enabled[] array entries for RNG_REV and WK_FADE unused in CheckEntries</t>
  </si>
  <si>
    <t xml:space="preserve">RNG_REV enters in UpdateSA1H (bar transition), WK_FADE enters in UpdateCH (hour transition). Neither goes through CheckEntries where the enabled[] array is checked.</t>
  </si>
  <si>
    <t xml:space="preserve">Functionally correct because EnRNG and EnWK are checked directly in their respective entry blocks. enabled[] entries are dead code but harmless.</t>
  </si>
  <si>
    <t xml:space="preserve">LOW — dead code, no functional impact</t>
  </si>
  <si>
    <t xml:space="preserve">ACCEPTED</t>
  </si>
  <si>
    <t xml:space="preserve">LIVE TRADING TRACKER — V6 ULTIMATE PORTFOLIO</t>
  </si>
  <si>
    <t xml:space="preserve">Enter daily results per leg. Formulas auto-calculate cumulative stats and compare to hypothesis.</t>
  </si>
  <si>
    <t xml:space="preserve">Date</t>
  </si>
  <si>
    <t xml:space="preserve">FK4H</t>
  </si>
  <si>
    <t xml:space="preserve">Day Total</t>
  </si>
  <si>
    <t xml:space="preserve">Cum Total</t>
  </si>
  <si>
    <t xml:space="preserve">Cum R</t>
  </si>
  <si>
    <t xml:space="preserve">LIVE vs HYPOTHESIS COMPARISON</t>
  </si>
  <si>
    <t xml:space="preserve">Live Trades</t>
  </si>
  <si>
    <t xml:space="preserve">Live Win %</t>
  </si>
  <si>
    <t xml:space="preserve">Live Net</t>
  </si>
  <si>
    <t xml:space="preserve">Hyp Net</t>
  </si>
  <si>
    <t xml:space="preserve">Delta</t>
  </si>
  <si>
    <t xml:space="preserve">STRATEGY VERSION HISTORY</t>
  </si>
  <si>
    <t xml:space="preserve">Changes</t>
  </si>
  <si>
    <t xml:space="preserve">Result</t>
  </si>
  <si>
    <t xml:space="preserve">V1-V3</t>
  </si>
  <si>
    <t xml:space="preserve">Session 1</t>
  </si>
  <si>
    <t xml:space="preserve">Initial breakout strategies (BO_1H/2H/4H/OR) with session-anchored bars. Discovered sweep and fakeout concepts.</t>
  </si>
  <si>
    <t xml:space="preserve">+6,505pts across 4 BO legs + SW_MKT + FK_OPN</t>
  </si>
  <si>
    <t xml:space="preserve">V4</t>
  </si>
  <si>
    <t xml:space="preserve">Session 2</t>
  </si>
  <si>
    <t xml:space="preserve">Fixed FK_4H (replaced REJ1M with OPN entry, swept FD). Fixed FK_DAILY (persisted day_prev_open across days, renamed to GAP_FADE). Added RNG_REV, WK_FADE.</t>
  </si>
  <si>
    <t xml:space="preserve">+10,394pts total (10 legs). PF 4.16, N/MDD 13.3x</t>
  </si>
  <si>
    <t xml:space="preserve">V5 (Python)</t>
  </si>
  <si>
    <t xml:space="preserve">Consolidated all 10 legs into single clean backtest. Fixed missing BO_4H (forgot s4h_prev tracking). Full trade table with per-leg stats.</t>
  </si>
  <si>
    <t xml:space="preserve">Confirmed +10,394pts. 59.6% WR, +5.91R/day</t>
  </si>
  <si>
    <t xml:space="preserve">V5 (C#)</t>
  </si>
  <si>
    <t xml:space="preserve">Ported to NinjaTrader 8 strategy. All 10 legs with individual enable/disable inputs. Virtual tracking + optional SubmitOrders. Per-leg performance table.</t>
  </si>
  <si>
    <t xml:space="preserve">Logic verified matching Python. Missing SLIP/COMM in virtual P&amp;L.</t>
  </si>
  <si>
    <t xml:space="preserve">V6 (C#)</t>
  </si>
  <si>
    <t xml:space="preserve">Session 3</t>
  </si>
  <si>
    <t xml:space="preserve">Added VSlip (0.25) and VComm (0.50) to virtual P&amp;L tracking. Full side-by-side audit confirmed all 10 legs match Python backtest exactly.</t>
  </si>
  <si>
    <t xml:space="preserve">Virtual P&amp;L now matches backtest. Ready for live.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</si>
</sst>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#,##0.0;\(#,##0.0\);\-"/>
    <numFmt numFmtId="168" formatCode="\$#,##0"/>
    <numFmt numFmtId="169" formatCode="0.00"/>
    <numFmt numFmtId="170" formatCode="\+#,##0.0;\-#,##0.0;\-"/>
    <numFmt numFmtId="171" formatCode="\+0.000;\-0.000"/>
    <numFmt numFmtId="172" formatCode="0.0"/>
    <numFmt numFmtId="173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88888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7030A0"/>
      <rgbColor rgb="FFFFFFCC"/>
      <rgbColor rgb="FFCCFFFF"/>
      <rgbColor rgb="FF660066"/>
      <rgbColor rgb="FFFF8080"/>
      <rgbColor rgb="FF0070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5" min="4" style="0" width="8"/>
    <col collapsed="false" customWidth="true" hidden="false" outlineLevel="0" max="7" min="6" style="0" width="10"/>
    <col collapsed="false" customWidth="true" hidden="false" outlineLevel="0" max="8" min="8" style="0" width="6"/>
    <col collapsed="false" customWidth="true" hidden="false" outlineLevel="0" max="11" min="9" style="0" width="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4" t="s">
        <v>14</v>
      </c>
      <c r="C5" s="4" t="s">
        <v>15</v>
      </c>
      <c r="D5" s="5" t="n">
        <v>324</v>
      </c>
      <c r="E5" s="6" t="n">
        <v>0.57</v>
      </c>
      <c r="F5" s="7" t="n">
        <v>1628</v>
      </c>
      <c r="G5" s="8" t="n">
        <v>32560</v>
      </c>
      <c r="H5" s="9" t="n">
        <v>2.96</v>
      </c>
      <c r="I5" s="7" t="n">
        <v>9.8</v>
      </c>
      <c r="J5" s="7" t="n">
        <v>4</v>
      </c>
      <c r="K5" s="7" t="n">
        <v>224</v>
      </c>
    </row>
    <row r="6" customFormat="false" ht="15" hidden="false" customHeight="false" outlineLevel="0" collapsed="false">
      <c r="A6" s="4" t="s">
        <v>16</v>
      </c>
      <c r="B6" s="4" t="s">
        <v>17</v>
      </c>
      <c r="C6" s="4" t="s">
        <v>18</v>
      </c>
      <c r="D6" s="5" t="n">
        <v>134</v>
      </c>
      <c r="E6" s="6" t="n">
        <v>0.61</v>
      </c>
      <c r="F6" s="7" t="n">
        <v>982</v>
      </c>
      <c r="G6" s="8" t="n">
        <v>19640</v>
      </c>
      <c r="H6" s="9" t="n">
        <v>3.65</v>
      </c>
      <c r="I6" s="7" t="n">
        <v>12.9</v>
      </c>
      <c r="J6" s="7" t="n">
        <v>5.1</v>
      </c>
      <c r="K6" s="7" t="n">
        <v>173</v>
      </c>
    </row>
    <row r="7" customFormat="false" ht="15" hidden="false" customHeight="false" outlineLevel="0" collapsed="false">
      <c r="A7" s="4" t="s">
        <v>19</v>
      </c>
      <c r="B7" s="4" t="s">
        <v>20</v>
      </c>
      <c r="C7" s="4" t="s">
        <v>21</v>
      </c>
      <c r="D7" s="5" t="n">
        <v>56</v>
      </c>
      <c r="E7" s="6" t="n">
        <v>0.66</v>
      </c>
      <c r="F7" s="7" t="n">
        <v>586</v>
      </c>
      <c r="G7" s="8" t="n">
        <v>11720</v>
      </c>
      <c r="H7" s="9" t="n">
        <v>4.83</v>
      </c>
      <c r="I7" s="7" t="n">
        <v>16.2</v>
      </c>
      <c r="J7" s="7" t="n">
        <v>5.2</v>
      </c>
      <c r="K7" s="7" t="n">
        <v>87</v>
      </c>
    </row>
    <row r="8" customFormat="false" ht="15" hidden="false" customHeight="false" outlineLevel="0" collapsed="false">
      <c r="A8" s="4" t="s">
        <v>22</v>
      </c>
      <c r="B8" s="4" t="s">
        <v>23</v>
      </c>
      <c r="C8" s="4" t="s">
        <v>24</v>
      </c>
      <c r="D8" s="5" t="n">
        <v>88</v>
      </c>
      <c r="E8" s="6" t="n">
        <v>0.65</v>
      </c>
      <c r="F8" s="7" t="n">
        <v>651</v>
      </c>
      <c r="G8" s="8" t="n">
        <v>13020</v>
      </c>
      <c r="H8" s="9" t="n">
        <v>4.25</v>
      </c>
      <c r="I8" s="7" t="n">
        <v>13.6</v>
      </c>
      <c r="J8" s="7" t="n">
        <v>4.8</v>
      </c>
      <c r="K8" s="7" t="n">
        <v>102</v>
      </c>
    </row>
    <row r="9" customFormat="false" ht="15" hidden="false" customHeight="false" outlineLevel="0" collapsed="false">
      <c r="A9" s="4" t="s">
        <v>25</v>
      </c>
      <c r="B9" s="4" t="s">
        <v>26</v>
      </c>
      <c r="C9" s="4" t="s">
        <v>27</v>
      </c>
      <c r="D9" s="5" t="n">
        <v>261</v>
      </c>
      <c r="E9" s="6" t="n">
        <v>0.65</v>
      </c>
      <c r="F9" s="7" t="n">
        <v>2377</v>
      </c>
      <c r="G9" s="8" t="n">
        <v>47540</v>
      </c>
      <c r="H9" s="9" t="n">
        <v>4.32</v>
      </c>
      <c r="I9" s="7" t="n">
        <v>14.4</v>
      </c>
      <c r="J9" s="7" t="n">
        <v>4.6</v>
      </c>
      <c r="K9" s="7" t="n">
        <v>295</v>
      </c>
    </row>
    <row r="10" customFormat="false" ht="15" hidden="false" customHeight="false" outlineLevel="0" collapsed="false">
      <c r="A10" s="4" t="s">
        <v>28</v>
      </c>
      <c r="B10" s="4" t="s">
        <v>29</v>
      </c>
      <c r="C10" s="4" t="s">
        <v>30</v>
      </c>
      <c r="D10" s="5" t="n">
        <v>118</v>
      </c>
      <c r="E10" s="6" t="n">
        <v>0.6</v>
      </c>
      <c r="F10" s="7" t="n">
        <v>719</v>
      </c>
      <c r="G10" s="8" t="n">
        <v>14380</v>
      </c>
      <c r="H10" s="9" t="n">
        <v>3.04</v>
      </c>
      <c r="I10" s="7" t="n">
        <v>12</v>
      </c>
      <c r="J10" s="7" t="n">
        <v>5.3</v>
      </c>
      <c r="K10" s="7" t="n">
        <v>128</v>
      </c>
    </row>
    <row r="11" customFormat="false" ht="15" hidden="false" customHeight="false" outlineLevel="0" collapsed="false">
      <c r="A11" s="4" t="s">
        <v>31</v>
      </c>
      <c r="B11" s="4" t="s">
        <v>32</v>
      </c>
      <c r="C11" s="4" t="s">
        <v>33</v>
      </c>
      <c r="D11" s="5" t="n">
        <v>62</v>
      </c>
      <c r="E11" s="6" t="n">
        <v>0.55</v>
      </c>
      <c r="F11" s="7" t="n">
        <v>340</v>
      </c>
      <c r="G11" s="8" t="n">
        <v>6800</v>
      </c>
      <c r="H11" s="9" t="n">
        <v>2.44</v>
      </c>
      <c r="I11" s="7" t="n">
        <v>12.5</v>
      </c>
      <c r="J11" s="7" t="n">
        <v>6.8</v>
      </c>
      <c r="K11" s="7" t="n">
        <v>98</v>
      </c>
    </row>
    <row r="12" customFormat="false" ht="15" hidden="false" customHeight="false" outlineLevel="0" collapsed="false">
      <c r="A12" s="4" t="s">
        <v>34</v>
      </c>
      <c r="B12" s="4" t="s">
        <v>35</v>
      </c>
      <c r="C12" s="4" t="s">
        <v>36</v>
      </c>
      <c r="D12" s="5" t="n">
        <v>152</v>
      </c>
      <c r="E12" s="6" t="n">
        <v>0.55</v>
      </c>
      <c r="F12" s="7" t="n">
        <v>349</v>
      </c>
      <c r="G12" s="8" t="n">
        <v>6980</v>
      </c>
      <c r="H12" s="9" t="n">
        <v>4.57</v>
      </c>
      <c r="I12" s="7" t="n">
        <v>6.1</v>
      </c>
      <c r="J12" s="7" t="n">
        <v>5</v>
      </c>
      <c r="K12" s="7" t="n">
        <v>115</v>
      </c>
    </row>
    <row r="13" customFormat="false" ht="15" hidden="false" customHeight="false" outlineLevel="0" collapsed="false">
      <c r="A13" s="4" t="s">
        <v>37</v>
      </c>
      <c r="B13" s="4" t="s">
        <v>38</v>
      </c>
      <c r="C13" s="4" t="s">
        <v>39</v>
      </c>
      <c r="D13" s="5" t="n">
        <v>168</v>
      </c>
      <c r="E13" s="6" t="n">
        <v>0.53</v>
      </c>
      <c r="F13" s="7" t="n">
        <v>1118</v>
      </c>
      <c r="G13" s="8" t="n">
        <v>22360</v>
      </c>
      <c r="H13" s="9" t="n">
        <v>1.58</v>
      </c>
      <c r="I13" s="7" t="n">
        <v>11.6</v>
      </c>
      <c r="J13" s="7" t="n">
        <v>7.8</v>
      </c>
      <c r="K13" s="7" t="n">
        <v>292</v>
      </c>
    </row>
    <row r="14" customFormat="false" ht="15" hidden="false" customHeight="false" outlineLevel="0" collapsed="false">
      <c r="A14" s="4" t="s">
        <v>40</v>
      </c>
      <c r="B14" s="4" t="s">
        <v>41</v>
      </c>
      <c r="C14" s="4" t="s">
        <v>42</v>
      </c>
      <c r="D14" s="5" t="n">
        <v>83</v>
      </c>
      <c r="E14" s="6" t="n">
        <v>0.57</v>
      </c>
      <c r="F14" s="7" t="n">
        <v>1864</v>
      </c>
      <c r="G14" s="8" t="n">
        <v>37280</v>
      </c>
      <c r="H14" s="9" t="n">
        <v>1.92</v>
      </c>
      <c r="I14" s="7" t="n">
        <v>31.5</v>
      </c>
      <c r="J14" s="7" t="n">
        <v>15.8</v>
      </c>
      <c r="K14" s="7" t="n">
        <v>408</v>
      </c>
    </row>
    <row r="15" customFormat="false" ht="15" hidden="false" customHeight="false" outlineLevel="0" collapsed="false">
      <c r="A15" s="10" t="s">
        <v>43</v>
      </c>
      <c r="B15" s="11"/>
      <c r="C15" s="11"/>
      <c r="D15" s="12" t="n">
        <f aca="false">SUM(D5:D14)</f>
        <v>1446</v>
      </c>
      <c r="E15" s="13" t="n">
        <f aca="false">SUMPRODUCT(D5:D14,E5:E14)/D15</f>
        <v>0.59134163208852</v>
      </c>
      <c r="F15" s="14" t="n">
        <f aca="false">SUM(F5:F14)</f>
        <v>10614</v>
      </c>
      <c r="G15" s="15" t="n">
        <f aca="false">SUM(G5:G14)</f>
        <v>212280</v>
      </c>
      <c r="H15" s="16" t="n">
        <f aca="false">SUMPRODUCT(D5:D14,I5:I14)/(SUMPRODUCT(D5:D14,J5:J14)+0.001)</f>
        <v>2.2166319551293</v>
      </c>
      <c r="I15" s="11"/>
      <c r="J15" s="11"/>
      <c r="K15" s="11"/>
    </row>
    <row r="17" customFormat="false" ht="15" hidden="false" customHeight="false" outlineLevel="0" collapsed="false">
      <c r="A17" s="17" t="s">
        <v>44</v>
      </c>
      <c r="B17" s="17"/>
      <c r="C17" s="17"/>
    </row>
    <row r="18" customFormat="false" ht="15" hidden="false" customHeight="false" outlineLevel="0" collapsed="false">
      <c r="A18" s="18" t="s">
        <v>45</v>
      </c>
      <c r="B18" s="19" t="n">
        <f aca="false">F15/20</f>
        <v>530.7</v>
      </c>
    </row>
    <row r="19" customFormat="false" ht="15" hidden="false" customHeight="false" outlineLevel="0" collapsed="false">
      <c r="A19" s="18" t="s">
        <v>46</v>
      </c>
      <c r="B19" s="20" t="n">
        <f aca="false">F15/20/88</f>
        <v>6.03068181818182</v>
      </c>
    </row>
    <row r="20" customFormat="false" ht="15" hidden="false" customHeight="false" outlineLevel="0" collapsed="false">
      <c r="A20" s="18" t="s">
        <v>47</v>
      </c>
      <c r="B20" s="5" t="n">
        <v>88</v>
      </c>
    </row>
    <row r="21" customFormat="false" ht="15" hidden="false" customHeight="false" outlineLevel="0" collapsed="false">
      <c r="A21" s="18" t="s">
        <v>48</v>
      </c>
      <c r="B21" s="21" t="n">
        <f aca="false">D15/88</f>
        <v>16.4318181818182</v>
      </c>
    </row>
    <row r="22" customFormat="false" ht="15" hidden="false" customHeight="false" outlineLevel="0" collapsed="false">
      <c r="A22" s="18" t="s">
        <v>49</v>
      </c>
      <c r="B22" s="22" t="n">
        <f aca="false">E15</f>
        <v>0.59134163208852</v>
      </c>
    </row>
    <row r="23" customFormat="false" ht="15" hidden="false" customHeight="false" outlineLevel="0" collapsed="false">
      <c r="A23" s="18" t="s">
        <v>50</v>
      </c>
      <c r="B23" s="23" t="n">
        <f aca="false">H15</f>
        <v>2.2166319551293</v>
      </c>
    </row>
    <row r="24" customFormat="false" ht="15" hidden="false" customHeight="false" outlineLevel="0" collapsed="false">
      <c r="A24" s="18" t="s">
        <v>51</v>
      </c>
      <c r="B24" s="4" t="s">
        <v>52</v>
      </c>
    </row>
  </sheetData>
  <mergeCells count="3">
    <mergeCell ref="A1:K1"/>
    <mergeCell ref="A2:K2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0" width="12"/>
    <col collapsed="false" customWidth="true" hidden="false" outlineLevel="0" max="8" min="8" style="0" width="80"/>
  </cols>
  <sheetData>
    <row r="1" customFormat="false" ht="17.35" hidden="false" customHeight="false" outlineLevel="0" collapsed="false">
      <c r="A1" s="1" t="s">
        <v>53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54</v>
      </c>
      <c r="B2" s="2"/>
      <c r="C2" s="2"/>
      <c r="D2" s="2"/>
      <c r="E2" s="2"/>
      <c r="F2" s="2"/>
      <c r="G2" s="2"/>
      <c r="H2" s="2"/>
    </row>
    <row r="4" customFormat="false" ht="39.55" hidden="false" customHeight="false" outlineLevel="0" collapsed="false">
      <c r="A4" s="3" t="s">
        <v>2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</row>
    <row r="5" customFormat="false" ht="15" hidden="false" customHeight="false" outlineLevel="0" collapsed="false">
      <c r="A5" s="4" t="s">
        <v>13</v>
      </c>
      <c r="B5" s="7" t="n">
        <v>1628</v>
      </c>
      <c r="C5" s="6" t="n">
        <v>0.57</v>
      </c>
      <c r="D5" s="6" t="n">
        <v>0.52</v>
      </c>
      <c r="E5" s="7" t="n">
        <v>1050</v>
      </c>
      <c r="F5" s="24" t="n">
        <f aca="false">1-E5/B5</f>
        <v>0.355036855036855</v>
      </c>
      <c r="G5" s="4" t="s">
        <v>62</v>
      </c>
      <c r="H5" s="4" t="s">
        <v>63</v>
      </c>
    </row>
    <row r="6" customFormat="false" ht="15" hidden="false" customHeight="false" outlineLevel="0" collapsed="false">
      <c r="A6" s="4" t="s">
        <v>16</v>
      </c>
      <c r="B6" s="7" t="n">
        <v>982</v>
      </c>
      <c r="C6" s="6" t="n">
        <v>0.61</v>
      </c>
      <c r="D6" s="6" t="n">
        <v>0.56</v>
      </c>
      <c r="E6" s="7" t="n">
        <v>650</v>
      </c>
      <c r="F6" s="24" t="n">
        <f aca="false">1-E6/B6</f>
        <v>0.338085539714868</v>
      </c>
      <c r="G6" s="4" t="s">
        <v>62</v>
      </c>
      <c r="H6" s="4" t="s">
        <v>64</v>
      </c>
    </row>
    <row r="7" customFormat="false" ht="15" hidden="false" customHeight="false" outlineLevel="0" collapsed="false">
      <c r="A7" s="4" t="s">
        <v>19</v>
      </c>
      <c r="B7" s="7" t="n">
        <v>586</v>
      </c>
      <c r="C7" s="6" t="n">
        <v>0.66</v>
      </c>
      <c r="D7" s="6" t="n">
        <v>0.58</v>
      </c>
      <c r="E7" s="7" t="n">
        <v>350</v>
      </c>
      <c r="F7" s="24" t="n">
        <f aca="false">1-E7/B7</f>
        <v>0.402730375426621</v>
      </c>
      <c r="G7" s="4" t="s">
        <v>65</v>
      </c>
      <c r="H7" s="4" t="s">
        <v>66</v>
      </c>
    </row>
    <row r="8" customFormat="false" ht="15" hidden="false" customHeight="false" outlineLevel="0" collapsed="false">
      <c r="A8" s="4" t="s">
        <v>22</v>
      </c>
      <c r="B8" s="7" t="n">
        <v>651</v>
      </c>
      <c r="C8" s="6" t="n">
        <v>0.65</v>
      </c>
      <c r="D8" s="6" t="n">
        <v>0.58</v>
      </c>
      <c r="E8" s="7" t="n">
        <v>380</v>
      </c>
      <c r="F8" s="24" t="n">
        <f aca="false">1-E8/B8</f>
        <v>0.416282642089094</v>
      </c>
      <c r="G8" s="4" t="s">
        <v>65</v>
      </c>
      <c r="H8" s="4" t="s">
        <v>67</v>
      </c>
    </row>
    <row r="9" customFormat="false" ht="15" hidden="false" customHeight="false" outlineLevel="0" collapsed="false">
      <c r="A9" s="4" t="s">
        <v>25</v>
      </c>
      <c r="B9" s="7" t="n">
        <v>2377</v>
      </c>
      <c r="C9" s="6" t="n">
        <v>0.65</v>
      </c>
      <c r="D9" s="6" t="n">
        <v>0.58</v>
      </c>
      <c r="E9" s="7" t="n">
        <v>1500</v>
      </c>
      <c r="F9" s="24" t="n">
        <f aca="false">1-E9/B9</f>
        <v>0.368952461085402</v>
      </c>
      <c r="G9" s="4" t="s">
        <v>62</v>
      </c>
      <c r="H9" s="4" t="s">
        <v>68</v>
      </c>
    </row>
    <row r="10" customFormat="false" ht="15" hidden="false" customHeight="false" outlineLevel="0" collapsed="false">
      <c r="A10" s="4" t="s">
        <v>28</v>
      </c>
      <c r="B10" s="7" t="n">
        <v>719</v>
      </c>
      <c r="C10" s="6" t="n">
        <v>0.6</v>
      </c>
      <c r="D10" s="6" t="n">
        <v>0.53</v>
      </c>
      <c r="E10" s="7" t="n">
        <v>400</v>
      </c>
      <c r="F10" s="24" t="n">
        <f aca="false">1-E10/B10</f>
        <v>0.443671766342142</v>
      </c>
      <c r="G10" s="4" t="s">
        <v>65</v>
      </c>
      <c r="H10" s="4" t="s">
        <v>69</v>
      </c>
    </row>
    <row r="11" customFormat="false" ht="15" hidden="false" customHeight="false" outlineLevel="0" collapsed="false">
      <c r="A11" s="4" t="s">
        <v>31</v>
      </c>
      <c r="B11" s="7" t="n">
        <v>340</v>
      </c>
      <c r="C11" s="6" t="n">
        <v>0.55</v>
      </c>
      <c r="D11" s="6" t="n">
        <v>0.48</v>
      </c>
      <c r="E11" s="7" t="n">
        <v>120</v>
      </c>
      <c r="F11" s="24" t="n">
        <f aca="false">1-E11/B11</f>
        <v>0.647058823529412</v>
      </c>
      <c r="G11" s="4" t="s">
        <v>70</v>
      </c>
      <c r="H11" s="4" t="s">
        <v>71</v>
      </c>
    </row>
    <row r="12" customFormat="false" ht="15" hidden="false" customHeight="false" outlineLevel="0" collapsed="false">
      <c r="A12" s="4" t="s">
        <v>34</v>
      </c>
      <c r="B12" s="7" t="n">
        <v>349</v>
      </c>
      <c r="C12" s="6" t="n">
        <v>0.55</v>
      </c>
      <c r="D12" s="6" t="n">
        <v>0.5</v>
      </c>
      <c r="E12" s="7" t="n">
        <v>150</v>
      </c>
      <c r="F12" s="24" t="n">
        <f aca="false">1-E12/B12</f>
        <v>0.570200573065903</v>
      </c>
      <c r="G12" s="4" t="s">
        <v>65</v>
      </c>
      <c r="H12" s="4" t="s">
        <v>72</v>
      </c>
    </row>
    <row r="13" customFormat="false" ht="15" hidden="false" customHeight="false" outlineLevel="0" collapsed="false">
      <c r="A13" s="4" t="s">
        <v>37</v>
      </c>
      <c r="B13" s="7" t="n">
        <v>1118</v>
      </c>
      <c r="C13" s="6" t="n">
        <v>0.53</v>
      </c>
      <c r="D13" s="6" t="n">
        <v>0.48</v>
      </c>
      <c r="E13" s="7" t="n">
        <v>500</v>
      </c>
      <c r="F13" s="24" t="n">
        <f aca="false">1-E13/B13</f>
        <v>0.552772808586762</v>
      </c>
      <c r="G13" s="4" t="s">
        <v>73</v>
      </c>
      <c r="H13" s="4" t="s">
        <v>74</v>
      </c>
    </row>
    <row r="14" customFormat="false" ht="15" hidden="false" customHeight="false" outlineLevel="0" collapsed="false">
      <c r="A14" s="4" t="s">
        <v>40</v>
      </c>
      <c r="B14" s="7" t="n">
        <v>1864</v>
      </c>
      <c r="C14" s="6" t="n">
        <v>0.57</v>
      </c>
      <c r="D14" s="6" t="n">
        <v>0.5</v>
      </c>
      <c r="E14" s="7" t="n">
        <v>800</v>
      </c>
      <c r="F14" s="24" t="n">
        <f aca="false">1-E14/B14</f>
        <v>0.570815450643777</v>
      </c>
      <c r="G14" s="4" t="s">
        <v>65</v>
      </c>
      <c r="H14" s="4" t="s">
        <v>75</v>
      </c>
    </row>
    <row r="15" customFormat="false" ht="15" hidden="false" customHeight="false" outlineLevel="0" collapsed="false">
      <c r="A15" s="10" t="s">
        <v>43</v>
      </c>
      <c r="B15" s="14" t="n">
        <f aca="false">SUM(B5:B14)</f>
        <v>10614</v>
      </c>
      <c r="C15" s="11"/>
      <c r="D15" s="11"/>
      <c r="E15" s="14" t="n">
        <f aca="false">SUM(E5:E14)</f>
        <v>5900</v>
      </c>
      <c r="F15" s="25" t="n">
        <f aca="false">1-E15/B15</f>
        <v>0.444130393819484</v>
      </c>
      <c r="G15" s="11"/>
      <c r="H15" s="11"/>
    </row>
    <row r="17" customFormat="false" ht="15" hidden="false" customHeight="false" outlineLevel="0" collapsed="false">
      <c r="A17" s="17" t="s">
        <v>76</v>
      </c>
      <c r="B17" s="17"/>
      <c r="C17" s="17"/>
    </row>
    <row r="18" customFormat="false" ht="15" hidden="false" customHeight="false" outlineLevel="0" collapsed="false">
      <c r="A18" s="26" t="s">
        <v>77</v>
      </c>
      <c r="B18" s="27" t="n">
        <f aca="false">B15/20</f>
        <v>530.7</v>
      </c>
    </row>
    <row r="19" customFormat="false" ht="15" hidden="false" customHeight="false" outlineLevel="0" collapsed="false">
      <c r="A19" s="26" t="s">
        <v>78</v>
      </c>
      <c r="B19" s="27" t="n">
        <f aca="false">E15/20</f>
        <v>295</v>
      </c>
    </row>
    <row r="20" customFormat="false" ht="15" hidden="false" customHeight="false" outlineLevel="0" collapsed="false">
      <c r="A20" s="26" t="s">
        <v>79</v>
      </c>
      <c r="B20" s="28" t="n">
        <f aca="false">E15/20/252</f>
        <v>1.17063492063492</v>
      </c>
    </row>
    <row r="21" customFormat="false" ht="15" hidden="false" customHeight="false" outlineLevel="0" collapsed="false">
      <c r="A21" s="26" t="s">
        <v>80</v>
      </c>
      <c r="B21" s="29" t="n">
        <f aca="false">F15</f>
        <v>0.444130393819484</v>
      </c>
    </row>
    <row r="22" customFormat="false" ht="15" hidden="false" customHeight="false" outlineLevel="0" collapsed="false">
      <c r="A22" s="26" t="s">
        <v>81</v>
      </c>
      <c r="B22" s="30" t="s">
        <v>82</v>
      </c>
    </row>
    <row r="23" customFormat="false" ht="15" hidden="false" customHeight="false" outlineLevel="0" collapsed="false">
      <c r="A23" s="26" t="s">
        <v>83</v>
      </c>
      <c r="B23" s="27" t="n">
        <f aca="false">E15*0.5/20</f>
        <v>147.5</v>
      </c>
    </row>
    <row r="24" customFormat="false" ht="15" hidden="false" customHeight="false" outlineLevel="0" collapsed="false">
      <c r="A24" s="26" t="s">
        <v>84</v>
      </c>
      <c r="B24" s="30" t="s">
        <v>85</v>
      </c>
    </row>
    <row r="25" customFormat="false" ht="15" hidden="false" customHeight="false" outlineLevel="0" collapsed="false">
      <c r="A25" s="26" t="s">
        <v>86</v>
      </c>
      <c r="B25" s="30" t="s">
        <v>87</v>
      </c>
    </row>
  </sheetData>
  <mergeCells count="3">
    <mergeCell ref="A1:H1"/>
    <mergeCell ref="A2:H2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5" min="4" style="0" width="50"/>
    <col collapsed="false" customWidth="true" hidden="false" outlineLevel="0" max="6" min="6" style="0" width="35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88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89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90</v>
      </c>
      <c r="B4" s="3" t="s">
        <v>91</v>
      </c>
      <c r="C4" s="3" t="s">
        <v>92</v>
      </c>
      <c r="D4" s="3" t="s">
        <v>93</v>
      </c>
      <c r="E4" s="3" t="s">
        <v>94</v>
      </c>
      <c r="F4" s="3" t="s">
        <v>95</v>
      </c>
      <c r="G4" s="3" t="s">
        <v>96</v>
      </c>
    </row>
    <row r="5" customFormat="false" ht="60" hidden="false" customHeight="true" outlineLevel="0" collapsed="false">
      <c r="A5" s="31" t="n">
        <v>1</v>
      </c>
      <c r="B5" s="31" t="s">
        <v>97</v>
      </c>
      <c r="C5" s="31" t="s">
        <v>98</v>
      </c>
      <c r="D5" s="31" t="s">
        <v>99</v>
      </c>
      <c r="E5" s="31" t="s">
        <v>100</v>
      </c>
      <c r="F5" s="31" t="s">
        <v>101</v>
      </c>
      <c r="G5" s="32" t="s">
        <v>102</v>
      </c>
    </row>
    <row r="6" customFormat="false" ht="60" hidden="false" customHeight="true" outlineLevel="0" collapsed="false">
      <c r="A6" s="31" t="n">
        <v>2</v>
      </c>
      <c r="B6" s="31" t="s">
        <v>97</v>
      </c>
      <c r="C6" s="31" t="s">
        <v>103</v>
      </c>
      <c r="D6" s="31" t="s">
        <v>104</v>
      </c>
      <c r="E6" s="31" t="s">
        <v>105</v>
      </c>
      <c r="F6" s="31" t="s">
        <v>106</v>
      </c>
      <c r="G6" s="32" t="s">
        <v>102</v>
      </c>
    </row>
    <row r="7" customFormat="false" ht="60" hidden="false" customHeight="true" outlineLevel="0" collapsed="false">
      <c r="A7" s="31" t="n">
        <v>3</v>
      </c>
      <c r="B7" s="31" t="s">
        <v>107</v>
      </c>
      <c r="C7" s="31" t="s">
        <v>108</v>
      </c>
      <c r="D7" s="31" t="s">
        <v>109</v>
      </c>
      <c r="E7" s="31" t="s">
        <v>110</v>
      </c>
      <c r="F7" s="31" t="s">
        <v>111</v>
      </c>
      <c r="G7" s="33" t="s">
        <v>112</v>
      </c>
    </row>
    <row r="8" customFormat="false" ht="60" hidden="false" customHeight="true" outlineLevel="0" collapsed="false">
      <c r="A8" s="31" t="n">
        <v>4</v>
      </c>
      <c r="B8" s="31" t="s">
        <v>107</v>
      </c>
      <c r="C8" s="31" t="s">
        <v>113</v>
      </c>
      <c r="D8" s="31" t="s">
        <v>114</v>
      </c>
      <c r="E8" s="31" t="s">
        <v>115</v>
      </c>
      <c r="F8" s="31" t="s">
        <v>116</v>
      </c>
      <c r="G8" s="33" t="s">
        <v>112</v>
      </c>
    </row>
    <row r="9" customFormat="false" ht="60" hidden="false" customHeight="true" outlineLevel="0" collapsed="false">
      <c r="A9" s="31" t="n">
        <v>5</v>
      </c>
      <c r="B9" s="31" t="s">
        <v>117</v>
      </c>
      <c r="C9" s="31" t="s">
        <v>118</v>
      </c>
      <c r="D9" s="31" t="s">
        <v>119</v>
      </c>
      <c r="E9" s="31" t="s">
        <v>120</v>
      </c>
      <c r="F9" s="31" t="s">
        <v>121</v>
      </c>
      <c r="G9" s="32" t="s">
        <v>102</v>
      </c>
    </row>
    <row r="10" customFormat="false" ht="60" hidden="false" customHeight="true" outlineLevel="0" collapsed="false">
      <c r="A10" s="31" t="n">
        <v>6</v>
      </c>
      <c r="B10" s="31" t="s">
        <v>122</v>
      </c>
      <c r="C10" s="31" t="s">
        <v>123</v>
      </c>
      <c r="D10" s="31" t="s">
        <v>124</v>
      </c>
      <c r="E10" s="31" t="s">
        <v>125</v>
      </c>
      <c r="F10" s="31" t="s">
        <v>126</v>
      </c>
      <c r="G10" s="32" t="s">
        <v>102</v>
      </c>
    </row>
    <row r="11" customFormat="false" ht="60" hidden="false" customHeight="true" outlineLevel="0" collapsed="false">
      <c r="A11" s="31" t="n">
        <v>7</v>
      </c>
      <c r="B11" s="31" t="s">
        <v>122</v>
      </c>
      <c r="C11" s="31" t="s">
        <v>127</v>
      </c>
      <c r="D11" s="31" t="s">
        <v>128</v>
      </c>
      <c r="E11" s="31" t="s">
        <v>129</v>
      </c>
      <c r="F11" s="31" t="s">
        <v>130</v>
      </c>
      <c r="G11" s="32" t="s">
        <v>102</v>
      </c>
    </row>
    <row r="12" customFormat="false" ht="60" hidden="false" customHeight="true" outlineLevel="0" collapsed="false">
      <c r="A12" s="31" t="n">
        <v>8</v>
      </c>
      <c r="B12" s="31" t="s">
        <v>131</v>
      </c>
      <c r="C12" s="31" t="s">
        <v>132</v>
      </c>
      <c r="D12" s="31" t="s">
        <v>133</v>
      </c>
      <c r="E12" s="31" t="s">
        <v>134</v>
      </c>
      <c r="F12" s="31" t="s">
        <v>135</v>
      </c>
      <c r="G12" s="32" t="s">
        <v>102</v>
      </c>
    </row>
    <row r="13" customFormat="false" ht="60" hidden="false" customHeight="true" outlineLevel="0" collapsed="false">
      <c r="A13" s="31" t="n">
        <v>9</v>
      </c>
      <c r="B13" s="31" t="s">
        <v>131</v>
      </c>
      <c r="C13" s="31" t="s">
        <v>136</v>
      </c>
      <c r="D13" s="31" t="s">
        <v>137</v>
      </c>
      <c r="E13" s="31" t="s">
        <v>138</v>
      </c>
      <c r="F13" s="31" t="s">
        <v>139</v>
      </c>
      <c r="G13" s="32" t="s">
        <v>102</v>
      </c>
    </row>
    <row r="14" customFormat="false" ht="60" hidden="false" customHeight="true" outlineLevel="0" collapsed="false">
      <c r="A14" s="31" t="n">
        <v>10</v>
      </c>
      <c r="B14" s="31" t="s">
        <v>117</v>
      </c>
      <c r="C14" s="31" t="s">
        <v>140</v>
      </c>
      <c r="D14" s="31" t="s">
        <v>141</v>
      </c>
      <c r="E14" s="31" t="s">
        <v>142</v>
      </c>
      <c r="F14" s="31" t="s">
        <v>143</v>
      </c>
      <c r="G14" s="34" t="s">
        <v>144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N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14" min="2" style="0" width="12"/>
  </cols>
  <sheetData>
    <row r="1" customFormat="false" ht="17.35" hidden="false" customHeight="false" outlineLevel="0" collapsed="false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147</v>
      </c>
      <c r="B4" s="3" t="s">
        <v>13</v>
      </c>
      <c r="C4" s="3" t="s">
        <v>16</v>
      </c>
      <c r="D4" s="3" t="s">
        <v>19</v>
      </c>
      <c r="E4" s="3" t="s">
        <v>22</v>
      </c>
      <c r="F4" s="3" t="s">
        <v>25</v>
      </c>
      <c r="G4" s="3" t="s">
        <v>28</v>
      </c>
      <c r="H4" s="3" t="s">
        <v>31</v>
      </c>
      <c r="I4" s="3" t="s">
        <v>34</v>
      </c>
      <c r="J4" s="3" t="s">
        <v>148</v>
      </c>
      <c r="K4" s="3" t="s">
        <v>40</v>
      </c>
      <c r="L4" s="3" t="s">
        <v>149</v>
      </c>
      <c r="M4" s="3" t="s">
        <v>150</v>
      </c>
      <c r="N4" s="3" t="s">
        <v>151</v>
      </c>
    </row>
    <row r="5" customFormat="false" ht="15" hidden="false" customHeight="false" outlineLevel="0" collapsed="false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7" t="n">
        <f aca="false">SUM(B5:K5)</f>
        <v>0</v>
      </c>
      <c r="M5" s="37" t="n">
        <f aca="false">L5</f>
        <v>0</v>
      </c>
      <c r="N5" s="38" t="n">
        <f aca="false">M5/20</f>
        <v>0</v>
      </c>
    </row>
    <row r="6" customFormat="false" ht="15" hidden="false" customHeight="false" outlineLevel="0" collapsed="false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7" t="n">
        <f aca="false">SUM(B6:K6)</f>
        <v>0</v>
      </c>
      <c r="M6" s="37" t="n">
        <f aca="false">M5+L6</f>
        <v>0</v>
      </c>
      <c r="N6" s="38" t="n">
        <f aca="false">M6/20</f>
        <v>0</v>
      </c>
    </row>
    <row r="7" customFormat="false" ht="15" hidden="false" customHeight="false" outlineLevel="0" collapsed="false">
      <c r="A7" s="35"/>
      <c r="B7" s="36"/>
      <c r="C7" s="36"/>
      <c r="D7" s="36"/>
      <c r="E7" s="36"/>
      <c r="F7" s="36"/>
      <c r="G7" s="36"/>
      <c r="H7" s="36"/>
      <c r="I7" s="36"/>
      <c r="J7" s="36"/>
      <c r="K7" s="36"/>
      <c r="L7" s="37" t="n">
        <f aca="false">SUM(B7:K7)</f>
        <v>0</v>
      </c>
      <c r="M7" s="37" t="n">
        <f aca="false">M6+L7</f>
        <v>0</v>
      </c>
      <c r="N7" s="38" t="n">
        <f aca="false">M7/20</f>
        <v>0</v>
      </c>
    </row>
    <row r="8" customFormat="false" ht="15" hidden="false" customHeight="false" outlineLevel="0" collapsed="false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7" t="n">
        <f aca="false">SUM(B8:K8)</f>
        <v>0</v>
      </c>
      <c r="M8" s="37" t="n">
        <f aca="false">M7+L8</f>
        <v>0</v>
      </c>
      <c r="N8" s="38" t="n">
        <f aca="false">M8/20</f>
        <v>0</v>
      </c>
    </row>
    <row r="9" customFormat="false" ht="15" hidden="false" customHeight="false" outlineLevel="0" collapsed="false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7" t="n">
        <f aca="false">SUM(B9:K9)</f>
        <v>0</v>
      </c>
      <c r="M9" s="37" t="n">
        <f aca="false">M8+L9</f>
        <v>0</v>
      </c>
      <c r="N9" s="38" t="n">
        <f aca="false">M9/20</f>
        <v>0</v>
      </c>
    </row>
    <row r="10" customFormat="false" ht="15" hidden="false" customHeight="false" outlineLevel="0" collapsed="false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 t="n">
        <f aca="false">SUM(B10:K10)</f>
        <v>0</v>
      </c>
      <c r="M10" s="37" t="n">
        <f aca="false">M9+L10</f>
        <v>0</v>
      </c>
      <c r="N10" s="38" t="n">
        <f aca="false">M10/20</f>
        <v>0</v>
      </c>
    </row>
    <row r="11" customFormat="false" ht="15" hidden="false" customHeight="false" outlineLevel="0" collapsed="false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7" t="n">
        <f aca="false">SUM(B11:K11)</f>
        <v>0</v>
      </c>
      <c r="M11" s="37" t="n">
        <f aca="false">M10+L11</f>
        <v>0</v>
      </c>
      <c r="N11" s="38" t="n">
        <f aca="false">M11/20</f>
        <v>0</v>
      </c>
    </row>
    <row r="12" customFormat="false" ht="15" hidden="false" customHeight="false" outlineLevel="0" collapsed="false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7" t="n">
        <f aca="false">SUM(B12:K12)</f>
        <v>0</v>
      </c>
      <c r="M12" s="37" t="n">
        <f aca="false">M11+L12</f>
        <v>0</v>
      </c>
      <c r="N12" s="38" t="n">
        <f aca="false">M12/20</f>
        <v>0</v>
      </c>
    </row>
    <row r="13" customFormat="false" ht="15" hidden="false" customHeight="false" outlineLevel="0" collapsed="false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 t="n">
        <f aca="false">SUM(B13:K13)</f>
        <v>0</v>
      </c>
      <c r="M13" s="37" t="n">
        <f aca="false">M12+L13</f>
        <v>0</v>
      </c>
      <c r="N13" s="38" t="n">
        <f aca="false">M13/20</f>
        <v>0</v>
      </c>
    </row>
    <row r="14" customFormat="false" ht="15" hidden="false" customHeight="false" outlineLevel="0" collapsed="false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7" t="n">
        <f aca="false">SUM(B14:K14)</f>
        <v>0</v>
      </c>
      <c r="M14" s="37" t="n">
        <f aca="false">M13+L14</f>
        <v>0</v>
      </c>
      <c r="N14" s="38" t="n">
        <f aca="false">M14/20</f>
        <v>0</v>
      </c>
    </row>
    <row r="15" customFormat="false" ht="15" hidden="false" customHeight="false" outlineLevel="0" collapsed="false">
      <c r="A15" s="35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7" t="n">
        <f aca="false">SUM(B15:K15)</f>
        <v>0</v>
      </c>
      <c r="M15" s="37" t="n">
        <f aca="false">M14+L15</f>
        <v>0</v>
      </c>
      <c r="N15" s="38" t="n">
        <f aca="false">M15/20</f>
        <v>0</v>
      </c>
    </row>
    <row r="16" customFormat="false" ht="15" hidden="false" customHeight="false" outlineLevel="0" collapsed="false">
      <c r="A16" s="35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 t="n">
        <f aca="false">SUM(B16:K16)</f>
        <v>0</v>
      </c>
      <c r="M16" s="37" t="n">
        <f aca="false">M15+L16</f>
        <v>0</v>
      </c>
      <c r="N16" s="38" t="n">
        <f aca="false">M16/20</f>
        <v>0</v>
      </c>
    </row>
    <row r="17" customFormat="false" ht="15" hidden="false" customHeight="false" outlineLevel="0" collapsed="false">
      <c r="A17" s="35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7" t="n">
        <f aca="false">SUM(B17:K17)</f>
        <v>0</v>
      </c>
      <c r="M17" s="37" t="n">
        <f aca="false">M16+L17</f>
        <v>0</v>
      </c>
      <c r="N17" s="38" t="n">
        <f aca="false">M17/20</f>
        <v>0</v>
      </c>
    </row>
    <row r="18" customFormat="false" ht="15" hidden="false" customHeight="false" outlineLevel="0" collapsed="false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7" t="n">
        <f aca="false">SUM(B18:K18)</f>
        <v>0</v>
      </c>
      <c r="M18" s="37" t="n">
        <f aca="false">M17+L18</f>
        <v>0</v>
      </c>
      <c r="N18" s="38" t="n">
        <f aca="false">M18/20</f>
        <v>0</v>
      </c>
    </row>
    <row r="19" customFormat="false" ht="15" hidden="false" customHeight="false" outlineLevel="0" collapsed="false">
      <c r="A19" s="35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7" t="n">
        <f aca="false">SUM(B19:K19)</f>
        <v>0</v>
      </c>
      <c r="M19" s="37" t="n">
        <f aca="false">M18+L19</f>
        <v>0</v>
      </c>
      <c r="N19" s="38" t="n">
        <f aca="false">M19/20</f>
        <v>0</v>
      </c>
    </row>
    <row r="20" customFormat="false" ht="15" hidden="false" customHeight="false" outlineLevel="0" collapsed="false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7" t="n">
        <f aca="false">SUM(B20:K20)</f>
        <v>0</v>
      </c>
      <c r="M20" s="37" t="n">
        <f aca="false">M19+L20</f>
        <v>0</v>
      </c>
      <c r="N20" s="38" t="n">
        <f aca="false">M20/20</f>
        <v>0</v>
      </c>
    </row>
    <row r="21" customFormat="false" ht="15" hidden="false" customHeight="false" outlineLevel="0" collapsed="false">
      <c r="A21" s="3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7" t="n">
        <f aca="false">SUM(B21:K21)</f>
        <v>0</v>
      </c>
      <c r="M21" s="37" t="n">
        <f aca="false">M20+L21</f>
        <v>0</v>
      </c>
      <c r="N21" s="38" t="n">
        <f aca="false">M21/20</f>
        <v>0</v>
      </c>
    </row>
    <row r="22" customFormat="false" ht="15" hidden="false" customHeight="false" outlineLevel="0" collapsed="false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 t="n">
        <f aca="false">SUM(B22:K22)</f>
        <v>0</v>
      </c>
      <c r="M22" s="37" t="n">
        <f aca="false">M21+L22</f>
        <v>0</v>
      </c>
      <c r="N22" s="38" t="n">
        <f aca="false">M22/20</f>
        <v>0</v>
      </c>
    </row>
    <row r="23" customFormat="false" ht="15" hidden="false" customHeight="false" outlineLevel="0" collapsed="false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7" t="n">
        <f aca="false">SUM(B23:K23)</f>
        <v>0</v>
      </c>
      <c r="M23" s="37" t="n">
        <f aca="false">M22+L23</f>
        <v>0</v>
      </c>
      <c r="N23" s="38" t="n">
        <f aca="false">M23/20</f>
        <v>0</v>
      </c>
    </row>
    <row r="24" customFormat="false" ht="15" hidden="false" customHeight="false" outlineLevel="0" collapsed="false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7" t="n">
        <f aca="false">SUM(B24:K24)</f>
        <v>0</v>
      </c>
      <c r="M24" s="37" t="n">
        <f aca="false">M23+L24</f>
        <v>0</v>
      </c>
      <c r="N24" s="38" t="n">
        <f aca="false">M24/20</f>
        <v>0</v>
      </c>
    </row>
    <row r="25" customFormat="false" ht="15" hidden="false" customHeight="false" outlineLevel="0" collapsed="false">
      <c r="A25" s="35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7" t="n">
        <f aca="false">SUM(B25:K25)</f>
        <v>0</v>
      </c>
      <c r="M25" s="37" t="n">
        <f aca="false">M24+L25</f>
        <v>0</v>
      </c>
      <c r="N25" s="38" t="n">
        <f aca="false">M25/20</f>
        <v>0</v>
      </c>
    </row>
    <row r="26" customFormat="false" ht="15" hidden="false" customHeight="false" outlineLevel="0" collapsed="false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7" t="n">
        <f aca="false">SUM(B26:K26)</f>
        <v>0</v>
      </c>
      <c r="M26" s="37" t="n">
        <f aca="false">M25+L26</f>
        <v>0</v>
      </c>
      <c r="N26" s="38" t="n">
        <f aca="false">M26/20</f>
        <v>0</v>
      </c>
    </row>
    <row r="27" customFormat="false" ht="15" hidden="false" customHeight="false" outlineLevel="0" collapsed="false">
      <c r="A27" s="35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 t="n">
        <f aca="false">SUM(B27:K27)</f>
        <v>0</v>
      </c>
      <c r="M27" s="37" t="n">
        <f aca="false">M26+L27</f>
        <v>0</v>
      </c>
      <c r="N27" s="38" t="n">
        <f aca="false">M27/20</f>
        <v>0</v>
      </c>
    </row>
    <row r="28" customFormat="false" ht="15" hidden="false" customHeight="false" outlineLevel="0" collapsed="false">
      <c r="A28" s="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 t="n">
        <f aca="false">SUM(B28:K28)</f>
        <v>0</v>
      </c>
      <c r="M28" s="37" t="n">
        <f aca="false">M27+L28</f>
        <v>0</v>
      </c>
      <c r="N28" s="38" t="n">
        <f aca="false">M28/20</f>
        <v>0</v>
      </c>
    </row>
    <row r="29" customFormat="false" ht="15" hidden="false" customHeight="false" outlineLevel="0" collapsed="false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7" t="n">
        <f aca="false">SUM(B29:K29)</f>
        <v>0</v>
      </c>
      <c r="M29" s="37" t="n">
        <f aca="false">M28+L29</f>
        <v>0</v>
      </c>
      <c r="N29" s="38" t="n">
        <f aca="false">M29/20</f>
        <v>0</v>
      </c>
    </row>
    <row r="30" customFormat="false" ht="15" hidden="false" customHeight="false" outlineLevel="0" collapsed="false">
      <c r="A30" s="35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7" t="n">
        <f aca="false">SUM(B30:K30)</f>
        <v>0</v>
      </c>
      <c r="M30" s="37" t="n">
        <f aca="false">M29+L30</f>
        <v>0</v>
      </c>
      <c r="N30" s="38" t="n">
        <f aca="false">M30/20</f>
        <v>0</v>
      </c>
    </row>
    <row r="31" customFormat="false" ht="15" hidden="false" customHeight="false" outlineLevel="0" collapsed="false">
      <c r="A31" s="35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7" t="n">
        <f aca="false">SUM(B31:K31)</f>
        <v>0</v>
      </c>
      <c r="M31" s="37" t="n">
        <f aca="false">M30+L31</f>
        <v>0</v>
      </c>
      <c r="N31" s="38" t="n">
        <f aca="false">M31/20</f>
        <v>0</v>
      </c>
    </row>
    <row r="32" customFormat="false" ht="15" hidden="false" customHeight="false" outlineLevel="0" collapsed="false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7" t="n">
        <f aca="false">SUM(B32:K32)</f>
        <v>0</v>
      </c>
      <c r="M32" s="37" t="n">
        <f aca="false">M31+L32</f>
        <v>0</v>
      </c>
      <c r="N32" s="38" t="n">
        <f aca="false">M32/20</f>
        <v>0</v>
      </c>
    </row>
    <row r="33" customFormat="false" ht="15" hidden="false" customHeight="false" outlineLevel="0" collapsed="false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7" t="n">
        <f aca="false">SUM(B33:K33)</f>
        <v>0</v>
      </c>
      <c r="M33" s="37" t="n">
        <f aca="false">M32+L33</f>
        <v>0</v>
      </c>
      <c r="N33" s="38" t="n">
        <f aca="false">M33/20</f>
        <v>0</v>
      </c>
    </row>
    <row r="34" customFormat="false" ht="15" hidden="false" customHeight="false" outlineLevel="0" collapsed="false">
      <c r="A34" s="3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7" t="n">
        <f aca="false">SUM(B34:K34)</f>
        <v>0</v>
      </c>
      <c r="M34" s="37" t="n">
        <f aca="false">M33+L34</f>
        <v>0</v>
      </c>
      <c r="N34" s="38" t="n">
        <f aca="false">M34/20</f>
        <v>0</v>
      </c>
    </row>
    <row r="35" customFormat="false" ht="15" hidden="false" customHeight="false" outlineLevel="0" collapsed="false">
      <c r="A35" s="35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7" t="n">
        <f aca="false">SUM(B35:K35)</f>
        <v>0</v>
      </c>
      <c r="M35" s="37" t="n">
        <f aca="false">M34+L35</f>
        <v>0</v>
      </c>
      <c r="N35" s="38" t="n">
        <f aca="false">M35/20</f>
        <v>0</v>
      </c>
    </row>
    <row r="36" customFormat="false" ht="15" hidden="false" customHeight="false" outlineLevel="0" collapsed="false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7" t="n">
        <f aca="false">SUM(B36:K36)</f>
        <v>0</v>
      </c>
      <c r="M36" s="37" t="n">
        <f aca="false">M35+L36</f>
        <v>0</v>
      </c>
      <c r="N36" s="38" t="n">
        <f aca="false">M36/20</f>
        <v>0</v>
      </c>
    </row>
    <row r="37" customFormat="false" ht="15" hidden="false" customHeight="false" outlineLevel="0" collapsed="false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7" t="n">
        <f aca="false">SUM(B37:K37)</f>
        <v>0</v>
      </c>
      <c r="M37" s="37" t="n">
        <f aca="false">M36+L37</f>
        <v>0</v>
      </c>
      <c r="N37" s="38" t="n">
        <f aca="false">M37/20</f>
        <v>0</v>
      </c>
    </row>
    <row r="38" customFormat="false" ht="15" hidden="false" customHeight="false" outlineLevel="0" collapsed="false">
      <c r="A38" s="3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7" t="n">
        <f aca="false">SUM(B38:K38)</f>
        <v>0</v>
      </c>
      <c r="M38" s="37" t="n">
        <f aca="false">M37+L38</f>
        <v>0</v>
      </c>
      <c r="N38" s="38" t="n">
        <f aca="false">M38/20</f>
        <v>0</v>
      </c>
    </row>
    <row r="39" customFormat="false" ht="15" hidden="false" customHeight="false" outlineLevel="0" collapsed="false">
      <c r="A39" s="35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7" t="n">
        <f aca="false">SUM(B39:K39)</f>
        <v>0</v>
      </c>
      <c r="M39" s="37" t="n">
        <f aca="false">M38+L39</f>
        <v>0</v>
      </c>
      <c r="N39" s="38" t="n">
        <f aca="false">M39/20</f>
        <v>0</v>
      </c>
    </row>
    <row r="40" customFormat="false" ht="15" hidden="false" customHeight="false" outlineLevel="0" collapsed="false">
      <c r="A40" s="35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7" t="n">
        <f aca="false">SUM(B40:K40)</f>
        <v>0</v>
      </c>
      <c r="M40" s="37" t="n">
        <f aca="false">M39+L40</f>
        <v>0</v>
      </c>
      <c r="N40" s="38" t="n">
        <f aca="false">M40/20</f>
        <v>0</v>
      </c>
    </row>
    <row r="41" customFormat="false" ht="15" hidden="false" customHeight="false" outlineLevel="0" collapsed="false">
      <c r="A41" s="35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7" t="n">
        <f aca="false">SUM(B41:K41)</f>
        <v>0</v>
      </c>
      <c r="M41" s="37" t="n">
        <f aca="false">M40+L41</f>
        <v>0</v>
      </c>
      <c r="N41" s="38" t="n">
        <f aca="false">M41/20</f>
        <v>0</v>
      </c>
    </row>
    <row r="42" customFormat="false" ht="15" hidden="false" customHeight="false" outlineLevel="0" collapsed="false">
      <c r="A42" s="35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7" t="n">
        <f aca="false">SUM(B42:K42)</f>
        <v>0</v>
      </c>
      <c r="M42" s="37" t="n">
        <f aca="false">M41+L42</f>
        <v>0</v>
      </c>
      <c r="N42" s="38" t="n">
        <f aca="false">M42/20</f>
        <v>0</v>
      </c>
    </row>
    <row r="43" customFormat="false" ht="15" hidden="false" customHeight="false" outlineLevel="0" collapsed="false">
      <c r="A43" s="35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7" t="n">
        <f aca="false">SUM(B43:K43)</f>
        <v>0</v>
      </c>
      <c r="M43" s="37" t="n">
        <f aca="false">M42+L43</f>
        <v>0</v>
      </c>
      <c r="N43" s="38" t="n">
        <f aca="false">M43/20</f>
        <v>0</v>
      </c>
    </row>
    <row r="44" customFormat="false" ht="15" hidden="false" customHeight="false" outlineLevel="0" collapsed="false">
      <c r="A44" s="35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7" t="n">
        <f aca="false">SUM(B44:K44)</f>
        <v>0</v>
      </c>
      <c r="M44" s="37" t="n">
        <f aca="false">M43+L44</f>
        <v>0</v>
      </c>
      <c r="N44" s="38" t="n">
        <f aca="false">M44/20</f>
        <v>0</v>
      </c>
    </row>
    <row r="45" customFormat="false" ht="15" hidden="false" customHeight="false" outlineLevel="0" collapsed="false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7" t="n">
        <f aca="false">SUM(B45:K45)</f>
        <v>0</v>
      </c>
      <c r="M45" s="37" t="n">
        <f aca="false">M44+L45</f>
        <v>0</v>
      </c>
      <c r="N45" s="38" t="n">
        <f aca="false">M45/20</f>
        <v>0</v>
      </c>
    </row>
    <row r="46" customFormat="false" ht="15" hidden="false" customHeight="false" outlineLevel="0" collapsed="false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7" t="n">
        <f aca="false">SUM(B46:K46)</f>
        <v>0</v>
      </c>
      <c r="M46" s="37" t="n">
        <f aca="false">M45+L46</f>
        <v>0</v>
      </c>
      <c r="N46" s="38" t="n">
        <f aca="false">M46/20</f>
        <v>0</v>
      </c>
    </row>
    <row r="47" customFormat="false" ht="15" hidden="false" customHeight="false" outlineLevel="0" collapsed="false">
      <c r="A47" s="3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7" t="n">
        <f aca="false">SUM(B47:K47)</f>
        <v>0</v>
      </c>
      <c r="M47" s="37" t="n">
        <f aca="false">M46+L47</f>
        <v>0</v>
      </c>
      <c r="N47" s="38" t="n">
        <f aca="false">M47/20</f>
        <v>0</v>
      </c>
    </row>
    <row r="48" customFormat="false" ht="15" hidden="false" customHeight="false" outlineLevel="0" collapsed="false">
      <c r="A48" s="35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7" t="n">
        <f aca="false">SUM(B48:K48)</f>
        <v>0</v>
      </c>
      <c r="M48" s="37" t="n">
        <f aca="false">M47+L48</f>
        <v>0</v>
      </c>
      <c r="N48" s="38" t="n">
        <f aca="false">M48/20</f>
        <v>0</v>
      </c>
    </row>
    <row r="49" customFormat="false" ht="15" hidden="false" customHeight="false" outlineLevel="0" collapsed="false">
      <c r="A49" s="35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7" t="n">
        <f aca="false">SUM(B49:K49)</f>
        <v>0</v>
      </c>
      <c r="M49" s="37" t="n">
        <f aca="false">M48+L49</f>
        <v>0</v>
      </c>
      <c r="N49" s="38" t="n">
        <f aca="false">M49/20</f>
        <v>0</v>
      </c>
    </row>
    <row r="50" customFormat="false" ht="15" hidden="false" customHeight="false" outlineLevel="0" collapsed="false">
      <c r="A50" s="35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7" t="n">
        <f aca="false">SUM(B50:K50)</f>
        <v>0</v>
      </c>
      <c r="M50" s="37" t="n">
        <f aca="false">M49+L50</f>
        <v>0</v>
      </c>
      <c r="N50" s="38" t="n">
        <f aca="false">M50/20</f>
        <v>0</v>
      </c>
    </row>
    <row r="51" customFormat="false" ht="15" hidden="false" customHeight="false" outlineLevel="0" collapsed="false">
      <c r="A51" s="35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7" t="n">
        <f aca="false">SUM(B51:K51)</f>
        <v>0</v>
      </c>
      <c r="M51" s="37" t="n">
        <f aca="false">M50+L51</f>
        <v>0</v>
      </c>
      <c r="N51" s="38" t="n">
        <f aca="false">M51/20</f>
        <v>0</v>
      </c>
    </row>
    <row r="52" customFormat="false" ht="15" hidden="false" customHeight="false" outlineLevel="0" collapsed="false">
      <c r="A52" s="35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7" t="n">
        <f aca="false">SUM(B52:K52)</f>
        <v>0</v>
      </c>
      <c r="M52" s="37" t="n">
        <f aca="false">M51+L52</f>
        <v>0</v>
      </c>
      <c r="N52" s="38" t="n">
        <f aca="false">M52/20</f>
        <v>0</v>
      </c>
    </row>
    <row r="53" customFormat="false" ht="15" hidden="false" customHeight="false" outlineLevel="0" collapsed="false">
      <c r="A53" s="35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7" t="n">
        <f aca="false">SUM(B53:K53)</f>
        <v>0</v>
      </c>
      <c r="M53" s="37" t="n">
        <f aca="false">M52+L53</f>
        <v>0</v>
      </c>
      <c r="N53" s="38" t="n">
        <f aca="false">M53/20</f>
        <v>0</v>
      </c>
    </row>
    <row r="54" customFormat="false" ht="15" hidden="false" customHeight="false" outlineLevel="0" collapsed="false">
      <c r="A54" s="35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7" t="n">
        <f aca="false">SUM(B54:K54)</f>
        <v>0</v>
      </c>
      <c r="M54" s="37" t="n">
        <f aca="false">M53+L54</f>
        <v>0</v>
      </c>
      <c r="N54" s="38" t="n">
        <f aca="false">M54/20</f>
        <v>0</v>
      </c>
    </row>
    <row r="55" customFormat="false" ht="15" hidden="false" customHeight="false" outlineLevel="0" collapsed="false">
      <c r="A55" s="35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7" t="n">
        <f aca="false">SUM(B55:K55)</f>
        <v>0</v>
      </c>
      <c r="M55" s="37" t="n">
        <f aca="false">M54+L55</f>
        <v>0</v>
      </c>
      <c r="N55" s="38" t="n">
        <f aca="false">M55/20</f>
        <v>0</v>
      </c>
    </row>
    <row r="56" customFormat="false" ht="15" hidden="false" customHeight="false" outlineLevel="0" collapsed="false">
      <c r="A56" s="35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7" t="n">
        <f aca="false">SUM(B56:K56)</f>
        <v>0</v>
      </c>
      <c r="M56" s="37" t="n">
        <f aca="false">M55+L56</f>
        <v>0</v>
      </c>
      <c r="N56" s="38" t="n">
        <f aca="false">M56/20</f>
        <v>0</v>
      </c>
    </row>
    <row r="57" customFormat="false" ht="15" hidden="false" customHeight="false" outlineLevel="0" collapsed="false">
      <c r="A57" s="35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7" t="n">
        <f aca="false">SUM(B57:K57)</f>
        <v>0</v>
      </c>
      <c r="M57" s="37" t="n">
        <f aca="false">M56+L57</f>
        <v>0</v>
      </c>
      <c r="N57" s="38" t="n">
        <f aca="false">M57/20</f>
        <v>0</v>
      </c>
    </row>
    <row r="58" customFormat="false" ht="15" hidden="false" customHeight="false" outlineLevel="0" collapsed="false">
      <c r="A58" s="35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7" t="n">
        <f aca="false">SUM(B58:K58)</f>
        <v>0</v>
      </c>
      <c r="M58" s="37" t="n">
        <f aca="false">M57+L58</f>
        <v>0</v>
      </c>
      <c r="N58" s="38" t="n">
        <f aca="false">M58/20</f>
        <v>0</v>
      </c>
    </row>
    <row r="59" customFormat="false" ht="15" hidden="false" customHeight="false" outlineLevel="0" collapsed="false">
      <c r="A59" s="35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7" t="n">
        <f aca="false">SUM(B59:K59)</f>
        <v>0</v>
      </c>
      <c r="M59" s="37" t="n">
        <f aca="false">M58+L59</f>
        <v>0</v>
      </c>
      <c r="N59" s="38" t="n">
        <f aca="false">M59/20</f>
        <v>0</v>
      </c>
    </row>
    <row r="60" customFormat="false" ht="15" hidden="false" customHeight="false" outlineLevel="0" collapsed="false">
      <c r="A60" s="35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7" t="n">
        <f aca="false">SUM(B60:K60)</f>
        <v>0</v>
      </c>
      <c r="M60" s="37" t="n">
        <f aca="false">M59+L60</f>
        <v>0</v>
      </c>
      <c r="N60" s="38" t="n">
        <f aca="false">M60/20</f>
        <v>0</v>
      </c>
    </row>
    <row r="61" customFormat="false" ht="15" hidden="false" customHeight="false" outlineLevel="0" collapsed="false">
      <c r="A61" s="35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7" t="n">
        <f aca="false">SUM(B61:K61)</f>
        <v>0</v>
      </c>
      <c r="M61" s="37" t="n">
        <f aca="false">M60+L61</f>
        <v>0</v>
      </c>
      <c r="N61" s="38" t="n">
        <f aca="false">M61/20</f>
        <v>0</v>
      </c>
    </row>
    <row r="62" customFormat="false" ht="15" hidden="false" customHeight="false" outlineLevel="0" collapsed="false">
      <c r="A62" s="35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7" t="n">
        <f aca="false">SUM(B62:K62)</f>
        <v>0</v>
      </c>
      <c r="M62" s="37" t="n">
        <f aca="false">M61+L62</f>
        <v>0</v>
      </c>
      <c r="N62" s="38" t="n">
        <f aca="false">M62/20</f>
        <v>0</v>
      </c>
    </row>
    <row r="63" customFormat="false" ht="15" hidden="false" customHeight="false" outlineLevel="0" collapsed="false">
      <c r="A63" s="35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7" t="n">
        <f aca="false">SUM(B63:K63)</f>
        <v>0</v>
      </c>
      <c r="M63" s="37" t="n">
        <f aca="false">M62+L63</f>
        <v>0</v>
      </c>
      <c r="N63" s="38" t="n">
        <f aca="false">M63/20</f>
        <v>0</v>
      </c>
    </row>
    <row r="64" customFormat="false" ht="15" hidden="false" customHeight="false" outlineLevel="0" collapsed="false">
      <c r="A64" s="35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7" t="n">
        <f aca="false">SUM(B64:K64)</f>
        <v>0</v>
      </c>
      <c r="M64" s="37" t="n">
        <f aca="false">M63+L64</f>
        <v>0</v>
      </c>
      <c r="N64" s="38" t="n">
        <f aca="false">M64/20</f>
        <v>0</v>
      </c>
    </row>
    <row r="67" customFormat="false" ht="15" hidden="false" customHeight="false" outlineLevel="0" collapsed="false">
      <c r="A67" s="17" t="s">
        <v>152</v>
      </c>
      <c r="B67" s="17"/>
      <c r="C67" s="17"/>
      <c r="D67" s="17"/>
      <c r="E67" s="17"/>
    </row>
    <row r="68" customFormat="false" ht="26.85" hidden="false" customHeight="false" outlineLevel="0" collapsed="false">
      <c r="A68" s="3" t="s">
        <v>2</v>
      </c>
      <c r="B68" s="3" t="s">
        <v>153</v>
      </c>
      <c r="C68" s="3" t="s">
        <v>154</v>
      </c>
      <c r="D68" s="3" t="s">
        <v>155</v>
      </c>
      <c r="E68" s="3" t="s">
        <v>156</v>
      </c>
      <c r="F68" s="3" t="s">
        <v>157</v>
      </c>
      <c r="G68" s="3" t="s">
        <v>96</v>
      </c>
    </row>
    <row r="69" customFormat="false" ht="15" hidden="false" customHeight="false" outlineLevel="0" collapsed="false">
      <c r="A69" s="18" t="s">
        <v>13</v>
      </c>
      <c r="B69" s="39" t="n">
        <f aca="false">COUNTA(B5:B64)</f>
        <v>0</v>
      </c>
      <c r="C69" s="40" t="n">
        <f aca="false">IFERROR(COUNTIF(B5:B64,"&gt;0")/COUNTA(B5:B64),0)</f>
        <v>0</v>
      </c>
      <c r="D69" s="41" t="n">
        <f aca="false">SUM(B5:B64)</f>
        <v>0</v>
      </c>
      <c r="E69" s="42" t="n">
        <v>1050</v>
      </c>
      <c r="F69" s="41" t="n">
        <f aca="false">D69-E69</f>
        <v>-1050</v>
      </c>
      <c r="G69" s="18" t="str">
        <f aca="false">IF(D69&gt;E69,"BEATING",IF(D69&gt;E69*0.5,"ON TRACK","REVIEW"))</f>
        <v>REVIEW</v>
      </c>
    </row>
    <row r="70" customFormat="false" ht="15" hidden="false" customHeight="false" outlineLevel="0" collapsed="false">
      <c r="A70" s="18" t="s">
        <v>16</v>
      </c>
      <c r="B70" s="39" t="n">
        <f aca="false">COUNTA(C5:C64)</f>
        <v>0</v>
      </c>
      <c r="C70" s="40" t="n">
        <f aca="false">IFERROR(COUNTIF(C5:C64,"&gt;0")/COUNTA(C5:C64),0)</f>
        <v>0</v>
      </c>
      <c r="D70" s="41" t="n">
        <f aca="false">SUM(C5:C64)</f>
        <v>0</v>
      </c>
      <c r="E70" s="42" t="n">
        <v>650</v>
      </c>
      <c r="F70" s="41" t="n">
        <f aca="false">D70-E70</f>
        <v>-650</v>
      </c>
      <c r="G70" s="18" t="str">
        <f aca="false">IF(D70&gt;E70,"BEATING",IF(D70&gt;E70*0.5,"ON TRACK","REVIEW"))</f>
        <v>REVIEW</v>
      </c>
    </row>
    <row r="71" customFormat="false" ht="15" hidden="false" customHeight="false" outlineLevel="0" collapsed="false">
      <c r="A71" s="18" t="s">
        <v>19</v>
      </c>
      <c r="B71" s="39" t="n">
        <f aca="false">COUNTA(D5:D64)</f>
        <v>0</v>
      </c>
      <c r="C71" s="40" t="n">
        <f aca="false">IFERROR(COUNTIF(D5:D64,"&gt;0")/COUNTA(D5:D64),0)</f>
        <v>0</v>
      </c>
      <c r="D71" s="41" t="n">
        <f aca="false">SUM(D5:D64)</f>
        <v>0</v>
      </c>
      <c r="E71" s="42" t="n">
        <v>350</v>
      </c>
      <c r="F71" s="41" t="n">
        <f aca="false">D71-E71</f>
        <v>-350</v>
      </c>
      <c r="G71" s="18" t="str">
        <f aca="false">IF(D71&gt;E71,"BEATING",IF(D71&gt;E71*0.5,"ON TRACK","REVIEW"))</f>
        <v>REVIEW</v>
      </c>
    </row>
    <row r="72" customFormat="false" ht="15" hidden="false" customHeight="false" outlineLevel="0" collapsed="false">
      <c r="A72" s="18" t="s">
        <v>22</v>
      </c>
      <c r="B72" s="39" t="n">
        <f aca="false">COUNTA(E5:E64)</f>
        <v>0</v>
      </c>
      <c r="C72" s="40" t="n">
        <f aca="false">IFERROR(COUNTIF(E5:E64,"&gt;0")/COUNTA(E5:E64),0)</f>
        <v>0</v>
      </c>
      <c r="D72" s="41" t="n">
        <f aca="false">SUM(E5:E64)</f>
        <v>0</v>
      </c>
      <c r="E72" s="42" t="n">
        <v>380</v>
      </c>
      <c r="F72" s="41" t="n">
        <f aca="false">D72-E72</f>
        <v>-380</v>
      </c>
      <c r="G72" s="18" t="str">
        <f aca="false">IF(D72&gt;E72,"BEATING",IF(D72&gt;E72*0.5,"ON TRACK","REVIEW"))</f>
        <v>REVIEW</v>
      </c>
    </row>
    <row r="73" customFormat="false" ht="15" hidden="false" customHeight="false" outlineLevel="0" collapsed="false">
      <c r="A73" s="18" t="s">
        <v>25</v>
      </c>
      <c r="B73" s="39" t="n">
        <f aca="false">COUNTA(F5:F64)</f>
        <v>0</v>
      </c>
      <c r="C73" s="40" t="n">
        <f aca="false">IFERROR(COUNTIF(F5:F64,"&gt;0")/COUNTA(F5:F64),0)</f>
        <v>0</v>
      </c>
      <c r="D73" s="41" t="n">
        <f aca="false">SUM(F5:F64)</f>
        <v>0</v>
      </c>
      <c r="E73" s="42" t="n">
        <v>1500</v>
      </c>
      <c r="F73" s="41" t="n">
        <f aca="false">D73-E73</f>
        <v>-1500</v>
      </c>
      <c r="G73" s="18" t="str">
        <f aca="false">IF(D73&gt;E73,"BEATING",IF(D73&gt;E73*0.5,"ON TRACK","REVIEW"))</f>
        <v>REVIEW</v>
      </c>
    </row>
    <row r="74" customFormat="false" ht="15" hidden="false" customHeight="false" outlineLevel="0" collapsed="false">
      <c r="A74" s="18" t="s">
        <v>28</v>
      </c>
      <c r="B74" s="39" t="n">
        <f aca="false">COUNTA(G5:G64)</f>
        <v>0</v>
      </c>
      <c r="C74" s="40" t="n">
        <f aca="false">IFERROR(COUNTIF(G5:G64,"&gt;0")/COUNTA(G5:G64),0)</f>
        <v>0</v>
      </c>
      <c r="D74" s="41" t="n">
        <f aca="false">SUM(G5:G64)</f>
        <v>0</v>
      </c>
      <c r="E74" s="42" t="n">
        <v>400</v>
      </c>
      <c r="F74" s="41" t="n">
        <f aca="false">D74-E74</f>
        <v>-400</v>
      </c>
      <c r="G74" s="18" t="str">
        <f aca="false">IF(D74&gt;E74,"BEATING",IF(D74&gt;E74*0.5,"ON TRACK","REVIEW"))</f>
        <v>REVIEW</v>
      </c>
    </row>
    <row r="75" customFormat="false" ht="15" hidden="false" customHeight="false" outlineLevel="0" collapsed="false">
      <c r="A75" s="18" t="s">
        <v>31</v>
      </c>
      <c r="B75" s="39" t="n">
        <f aca="false">COUNTA(H5:H64)</f>
        <v>0</v>
      </c>
      <c r="C75" s="40" t="n">
        <f aca="false">IFERROR(COUNTIF(H5:H64,"&gt;0")/COUNTA(H5:H64),0)</f>
        <v>0</v>
      </c>
      <c r="D75" s="41" t="n">
        <f aca="false">SUM(H5:H64)</f>
        <v>0</v>
      </c>
      <c r="E75" s="42" t="n">
        <v>120</v>
      </c>
      <c r="F75" s="41" t="n">
        <f aca="false">D75-E75</f>
        <v>-120</v>
      </c>
      <c r="G75" s="18" t="str">
        <f aca="false">IF(D75&gt;E75,"BEATING",IF(D75&gt;E75*0.5,"ON TRACK","REVIEW"))</f>
        <v>REVIEW</v>
      </c>
    </row>
    <row r="76" customFormat="false" ht="15" hidden="false" customHeight="false" outlineLevel="0" collapsed="false">
      <c r="A76" s="18" t="s">
        <v>34</v>
      </c>
      <c r="B76" s="39" t="n">
        <f aca="false">COUNTA(I5:I64)</f>
        <v>0</v>
      </c>
      <c r="C76" s="40" t="n">
        <f aca="false">IFERROR(COUNTIF(I5:I64,"&gt;0")/COUNTA(I5:I64),0)</f>
        <v>0</v>
      </c>
      <c r="D76" s="41" t="n">
        <f aca="false">SUM(I5:I64)</f>
        <v>0</v>
      </c>
      <c r="E76" s="42" t="n">
        <v>150</v>
      </c>
      <c r="F76" s="41" t="n">
        <f aca="false">D76-E76</f>
        <v>-150</v>
      </c>
      <c r="G76" s="18" t="str">
        <f aca="false">IF(D76&gt;E76,"BEATING",IF(D76&gt;E76*0.5,"ON TRACK","REVIEW"))</f>
        <v>REVIEW</v>
      </c>
    </row>
    <row r="77" customFormat="false" ht="15" hidden="false" customHeight="false" outlineLevel="0" collapsed="false">
      <c r="A77" s="18" t="s">
        <v>148</v>
      </c>
      <c r="B77" s="39" t="n">
        <f aca="false">COUNTA(J5:J64)</f>
        <v>0</v>
      </c>
      <c r="C77" s="40" t="n">
        <f aca="false">IFERROR(COUNTIF(J5:J64,"&gt;0")/COUNTA(J5:J64),0)</f>
        <v>0</v>
      </c>
      <c r="D77" s="41" t="n">
        <f aca="false">SUM(J5:J64)</f>
        <v>0</v>
      </c>
      <c r="E77" s="42" t="n">
        <v>500</v>
      </c>
      <c r="F77" s="41" t="n">
        <f aca="false">D77-E77</f>
        <v>-500</v>
      </c>
      <c r="G77" s="18" t="str">
        <f aca="false">IF(D77&gt;E77,"BEATING",IF(D77&gt;E77*0.5,"ON TRACK","REVIEW"))</f>
        <v>REVIEW</v>
      </c>
    </row>
    <row r="78" customFormat="false" ht="15" hidden="false" customHeight="false" outlineLevel="0" collapsed="false">
      <c r="A78" s="18" t="s">
        <v>40</v>
      </c>
      <c r="B78" s="39" t="n">
        <f aca="false">COUNTA(K5:K64)</f>
        <v>0</v>
      </c>
      <c r="C78" s="40" t="n">
        <f aca="false">IFERROR(COUNTIF(K5:K64,"&gt;0")/COUNTA(K5:K64),0)</f>
        <v>0</v>
      </c>
      <c r="D78" s="41" t="n">
        <f aca="false">SUM(K5:K64)</f>
        <v>0</v>
      </c>
      <c r="E78" s="42" t="n">
        <v>800</v>
      </c>
      <c r="F78" s="41" t="n">
        <f aca="false">D78-E78</f>
        <v>-800</v>
      </c>
      <c r="G78" s="18" t="str">
        <f aca="false">IF(D78&gt;E78,"BEATING",IF(D78&gt;E78*0.5,"ON TRACK","REVIEW"))</f>
        <v>REVIEW</v>
      </c>
    </row>
  </sheetData>
  <mergeCells count="3">
    <mergeCell ref="A1:N1"/>
    <mergeCell ref="A2:N2"/>
    <mergeCell ref="A67:E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8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158</v>
      </c>
      <c r="B1" s="1"/>
      <c r="C1" s="1"/>
      <c r="D1" s="1"/>
    </row>
    <row r="3" customFormat="false" ht="15" hidden="false" customHeight="false" outlineLevel="0" collapsed="false">
      <c r="A3" s="3" t="s">
        <v>91</v>
      </c>
      <c r="B3" s="3" t="s">
        <v>147</v>
      </c>
      <c r="C3" s="3" t="s">
        <v>159</v>
      </c>
      <c r="D3" s="3" t="s">
        <v>160</v>
      </c>
    </row>
    <row r="4" customFormat="false" ht="49.5" hidden="false" customHeight="true" outlineLevel="0" collapsed="false">
      <c r="A4" s="31" t="s">
        <v>161</v>
      </c>
      <c r="B4" s="31" t="s">
        <v>162</v>
      </c>
      <c r="C4" s="31" t="s">
        <v>163</v>
      </c>
      <c r="D4" s="31" t="s">
        <v>164</v>
      </c>
    </row>
    <row r="5" customFormat="false" ht="49.5" hidden="false" customHeight="true" outlineLevel="0" collapsed="false">
      <c r="A5" s="31" t="s">
        <v>165</v>
      </c>
      <c r="B5" s="31" t="s">
        <v>166</v>
      </c>
      <c r="C5" s="31" t="s">
        <v>167</v>
      </c>
      <c r="D5" s="31" t="s">
        <v>168</v>
      </c>
    </row>
    <row r="6" customFormat="false" ht="49.5" hidden="false" customHeight="true" outlineLevel="0" collapsed="false">
      <c r="A6" s="31" t="s">
        <v>169</v>
      </c>
      <c r="B6" s="31" t="s">
        <v>166</v>
      </c>
      <c r="C6" s="31" t="s">
        <v>170</v>
      </c>
      <c r="D6" s="31" t="s">
        <v>171</v>
      </c>
    </row>
    <row r="7" customFormat="false" ht="49.5" hidden="false" customHeight="true" outlineLevel="0" collapsed="false">
      <c r="A7" s="31" t="s">
        <v>172</v>
      </c>
      <c r="B7" s="31" t="s">
        <v>166</v>
      </c>
      <c r="C7" s="31" t="s">
        <v>173</v>
      </c>
      <c r="D7" s="31" t="s">
        <v>174</v>
      </c>
    </row>
    <row r="8" customFormat="false" ht="49.5" hidden="false" customHeight="true" outlineLevel="0" collapsed="false">
      <c r="A8" s="31" t="s">
        <v>175</v>
      </c>
      <c r="B8" s="31" t="s">
        <v>176</v>
      </c>
      <c r="C8" s="31" t="s">
        <v>177</v>
      </c>
      <c r="D8" s="31" t="s">
        <v>178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2026-03-06T01:53:48Z</dcterms:created>
  <dc:creator>openpyxl</dc:creator>
  <dc:description/>
  <dc:language>en-US</dc:language>
  <cp:lastModifiedBy/>
  <dcterms:modified xsi:type="dcterms:W3CDTF">2026-03-06T01:53:48Z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